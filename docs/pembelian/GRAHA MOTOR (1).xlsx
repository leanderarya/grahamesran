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liceret\LAP 2026\Olie 2026\"/>
    </mc:Choice>
  </mc:AlternateContent>
  <bookViews>
    <workbookView xWindow="0" yWindow="0" windowWidth="20490" windowHeight="7800" activeTab="4"/>
  </bookViews>
  <sheets>
    <sheet name="sparepart GM" sheetId="1" r:id="rId1"/>
    <sheet name="1" sheetId="2" r:id="rId2"/>
    <sheet name="2" sheetId="3" r:id="rId3"/>
    <sheet name="3" sheetId="4" r:id="rId4"/>
    <sheet name="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0" i="5" l="1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H10" i="5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F10" i="5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F9" i="5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H10" i="4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L9" i="4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L9" i="3"/>
  <c r="L41" i="5" l="1"/>
  <c r="F41" i="5"/>
  <c r="L41" i="4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L8" i="1"/>
  <c r="F14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L9" i="2"/>
  <c r="F33" i="4"/>
  <c r="B34" i="4"/>
  <c r="B35" i="4"/>
  <c r="B36" i="4"/>
  <c r="B37" i="4"/>
  <c r="B38" i="4" s="1"/>
  <c r="B39" i="4" s="1"/>
  <c r="B40" i="4" s="1"/>
  <c r="B33" i="4"/>
  <c r="F32" i="4"/>
  <c r="F31" i="4"/>
  <c r="F29" i="4"/>
  <c r="L50" i="1" l="1"/>
  <c r="L43" i="2"/>
  <c r="F40" i="4"/>
  <c r="F39" i="4"/>
  <c r="F38" i="4"/>
  <c r="F37" i="4"/>
  <c r="F36" i="4"/>
  <c r="F35" i="4"/>
  <c r="F34" i="4"/>
  <c r="F30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B10" i="4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F9" i="4"/>
  <c r="F11" i="3"/>
  <c r="F10" i="3"/>
  <c r="F9" i="3"/>
  <c r="F41" i="4" l="1"/>
  <c r="F42" i="2"/>
  <c r="F39" i="2"/>
  <c r="F37" i="3"/>
  <c r="F36" i="3"/>
  <c r="B36" i="3"/>
  <c r="F17" i="3"/>
  <c r="F16" i="3"/>
  <c r="F14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5" i="3"/>
  <c r="F13" i="3"/>
  <c r="F12" i="3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F15" i="2"/>
  <c r="F17" i="2"/>
  <c r="F16" i="2"/>
  <c r="F9" i="2"/>
  <c r="F43" i="2" s="1"/>
  <c r="F41" i="2"/>
  <c r="F40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3" i="2"/>
  <c r="F12" i="2"/>
  <c r="F11" i="2"/>
  <c r="F10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F49" i="1" l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F8" i="1"/>
  <c r="F50" i="1" s="1"/>
</calcChain>
</file>

<file path=xl/sharedStrings.xml><?xml version="1.0" encoding="utf-8"?>
<sst xmlns="http://schemas.openxmlformats.org/spreadsheetml/2006/main" count="424" uniqueCount="170">
  <si>
    <t>DAFTAR HARGA SPARPART MOBIL DLL</t>
  </si>
  <si>
    <t>GRAHA MOTOR</t>
  </si>
  <si>
    <t>SPBU 4458124</t>
  </si>
  <si>
    <t>NO</t>
  </si>
  <si>
    <t>QTY</t>
  </si>
  <si>
    <t>NAMA BARANG</t>
  </si>
  <si>
    <t>HARGA</t>
  </si>
  <si>
    <t>JUMLAH</t>
  </si>
  <si>
    <t>SATUAN</t>
  </si>
  <si>
    <t>Stabiling INNOVA</t>
  </si>
  <si>
    <t>Stabiling Avanza</t>
  </si>
  <si>
    <t>Stabiling APV</t>
  </si>
  <si>
    <t>Stabiling Granmax</t>
  </si>
  <si>
    <t>Stabiling Calya/Sigra</t>
  </si>
  <si>
    <t>Rak lod sigra</t>
  </si>
  <si>
    <t>Rak lod Avanza</t>
  </si>
  <si>
    <t>Rak lod Jazz</t>
  </si>
  <si>
    <t>Dragling Futura</t>
  </si>
  <si>
    <t>Kabel 0,8/20m</t>
  </si>
  <si>
    <t>Swet Rem PS/L300</t>
  </si>
  <si>
    <t>Soket sein T10</t>
  </si>
  <si>
    <t>Platina Kijang</t>
  </si>
  <si>
    <t>Tabung Busi+seal</t>
  </si>
  <si>
    <t>Led mata 3 (12 volt)</t>
  </si>
  <si>
    <t>CO Kijang Assy</t>
  </si>
  <si>
    <t>CM Kijang Assy</t>
  </si>
  <si>
    <t>FO Avanza</t>
  </si>
  <si>
    <t>FO Kijang</t>
  </si>
  <si>
    <t>Kabel Busi</t>
  </si>
  <si>
    <t>Break pad Panther</t>
  </si>
  <si>
    <t>Bbrek pad Grandmax</t>
  </si>
  <si>
    <t>Break pad L300</t>
  </si>
  <si>
    <t>Break pad Avanza</t>
  </si>
  <si>
    <t>Klip Avanza</t>
  </si>
  <si>
    <t>Klip Jazz</t>
  </si>
  <si>
    <t>Klip Innova</t>
  </si>
  <si>
    <t>Klip merah+hijau</t>
  </si>
  <si>
    <t>Break pad Innova</t>
  </si>
  <si>
    <t>Sekering Tancap</t>
  </si>
  <si>
    <t>Sekering Micro</t>
  </si>
  <si>
    <t>Sekering Tabung 10 A</t>
  </si>
  <si>
    <t>Karet Gentong skok</t>
  </si>
  <si>
    <t>Karet mata shock</t>
  </si>
  <si>
    <t>Sekering mini</t>
  </si>
  <si>
    <t>Fitting lampu Plastik</t>
  </si>
  <si>
    <t>Soket Relay K4</t>
  </si>
  <si>
    <t>Soket Tancap</t>
  </si>
  <si>
    <t>Rotak Futura</t>
  </si>
  <si>
    <t>Rotak zebra</t>
  </si>
  <si>
    <t>Klem Aki Besar</t>
  </si>
  <si>
    <t>Klem Aki Kecil</t>
  </si>
  <si>
    <t>Total</t>
  </si>
  <si>
    <t>Tanggal 17 Juni 2026</t>
  </si>
  <si>
    <t>Kabel Busi S89</t>
  </si>
  <si>
    <t>Kabel Busi L 300</t>
  </si>
  <si>
    <t>Kabel Busi Innova</t>
  </si>
  <si>
    <t>Kabel Busi Suzuki (APV)</t>
  </si>
  <si>
    <t>Kabel Busi T120 ss</t>
  </si>
  <si>
    <t>Set (4) Spion Avanza</t>
  </si>
  <si>
    <t>Set (8) Handle luar Avanza Lama</t>
  </si>
  <si>
    <t>Roll Kabel 2m (30 M )</t>
  </si>
  <si>
    <t>Kabel Accu Paralel</t>
  </si>
  <si>
    <t>Kanebo</t>
  </si>
  <si>
    <t>Karpet/kepet Merk Sparco K</t>
  </si>
  <si>
    <t>Soket seal Beam</t>
  </si>
  <si>
    <t>Soket Relay Kuning</t>
  </si>
  <si>
    <t>Klakson TIAT Denso</t>
  </si>
  <si>
    <t>Klakson Keong Denso</t>
  </si>
  <si>
    <t>Karet Rem 30253 R (PS)</t>
  </si>
  <si>
    <t>Karet Rem 40493R (Dutro)</t>
  </si>
  <si>
    <t>Rack End Livina</t>
  </si>
  <si>
    <t>Rack End Kijang 5 K</t>
  </si>
  <si>
    <t>Rack End Panter</t>
  </si>
  <si>
    <t>Rack End Innova</t>
  </si>
  <si>
    <t>Dongkrak Buaya</t>
  </si>
  <si>
    <t>Dongkrak Segitiga</t>
  </si>
  <si>
    <t>Kabel Accu 30 M</t>
  </si>
  <si>
    <t>Kabel Accu 50 M</t>
  </si>
  <si>
    <t>Kabel Accu 75 M</t>
  </si>
  <si>
    <t>Kabel Accu 100 M</t>
  </si>
  <si>
    <t>Kabel Accu 125 M</t>
  </si>
  <si>
    <t>Kabel Accu 150 M</t>
  </si>
  <si>
    <t>Kabel Accu 200 M</t>
  </si>
  <si>
    <t>Kabel Massa 30</t>
  </si>
  <si>
    <t>Tanggal 20 Juni 2026</t>
  </si>
  <si>
    <t>Wiper Kaca ( Bosh) 16</t>
  </si>
  <si>
    <t>Wiper Kaca ( Bosh) 18</t>
  </si>
  <si>
    <t>Wiper Kaca ( Bosh ) 20</t>
  </si>
  <si>
    <t>Bohlam H4 Philip (100/90:12 Volt )</t>
  </si>
  <si>
    <t>Fitting BesT K2</t>
  </si>
  <si>
    <t>Fitting BesT K1</t>
  </si>
  <si>
    <t>Pak Bohlam 24 V E/DB</t>
  </si>
  <si>
    <t>Led Mata 3 (12volt-24volt)</t>
  </si>
  <si>
    <t>Led Mata 1 (12-24Volt)</t>
  </si>
  <si>
    <t>Brake pad Alya/Agya Matic</t>
  </si>
  <si>
    <t>Brake pad Calya/Sigra</t>
  </si>
  <si>
    <t>Brake Pad Eretiga</t>
  </si>
  <si>
    <t>Brake Pad Grand Max</t>
  </si>
  <si>
    <t>Brake pad Livina</t>
  </si>
  <si>
    <t>Brake Pad Innova Reborn</t>
  </si>
  <si>
    <t>Brake Pad Futura T120ss</t>
  </si>
  <si>
    <t>Brake Shoe Alya/Agya</t>
  </si>
  <si>
    <t>Brake Shoe Calya/Sigra</t>
  </si>
  <si>
    <t>Brake Shoe Ertiga</t>
  </si>
  <si>
    <t>Brake Shoe Livina</t>
  </si>
  <si>
    <t>Brake Shoe Innova</t>
  </si>
  <si>
    <t>Breke Shoe Kijang Diesel</t>
  </si>
  <si>
    <t>Breke Shoe Mitsubishi colt 120 Rear</t>
  </si>
  <si>
    <t>Karpet Sparco Fiber Tebal</t>
  </si>
  <si>
    <t>RackEnd Avanza</t>
  </si>
  <si>
    <t>RackEnd Suzuki APV Power</t>
  </si>
  <si>
    <t>Kabel Accu 175 M</t>
  </si>
  <si>
    <t>Tanggal 23 Juni 2026</t>
  </si>
  <si>
    <t>Set Tierod Avanza SMT</t>
  </si>
  <si>
    <t>Set Tierod Innova</t>
  </si>
  <si>
    <t>Set Tierod Futura</t>
  </si>
  <si>
    <t>Balljoint Granmax Rush low</t>
  </si>
  <si>
    <t>BallJoint Innova/Fortuner Up</t>
  </si>
  <si>
    <t>Set Tierod Agya</t>
  </si>
  <si>
    <t>Set Tierod Kijang 5k/7k</t>
  </si>
  <si>
    <t>Balljoint L300 Up</t>
  </si>
  <si>
    <t>Balljoint low kijang 5k/7k</t>
  </si>
  <si>
    <t>Set Tierod Panther</t>
  </si>
  <si>
    <t>Pic Balljoint Panther LH</t>
  </si>
  <si>
    <t>Pic Balljoint Panther RH</t>
  </si>
  <si>
    <t>Pic Lower arm FTR</t>
  </si>
  <si>
    <t>Pic Lower arm Carry</t>
  </si>
  <si>
    <t>Pic Balljoint low Avanza</t>
  </si>
  <si>
    <t>Pic Filter Solar Innova Diesel</t>
  </si>
  <si>
    <t>Pic Filter Solar L 300</t>
  </si>
  <si>
    <t>Filter Oli Panter 2,3</t>
  </si>
  <si>
    <t>Balljoint Calya/Sigra</t>
  </si>
  <si>
    <t>Balljoint Panther Fuji Low LH</t>
  </si>
  <si>
    <t>Set Tierod Ertiga Fuji</t>
  </si>
  <si>
    <t>Filter Oli L300/Pajero</t>
  </si>
  <si>
    <t>Dudukan Mesin Avanza LH</t>
  </si>
  <si>
    <t>Dudukan Mesin Avanza RH</t>
  </si>
  <si>
    <t>Filter Solar Panther NKR66</t>
  </si>
  <si>
    <t>Filter Olie PS</t>
  </si>
  <si>
    <t>Balljoint 5k Up Fuji</t>
  </si>
  <si>
    <t>Set TierodEnd Calya/sigra Fuji</t>
  </si>
  <si>
    <t>Set Tierod Grandmax Fuji</t>
  </si>
  <si>
    <t>Set Tierod L300 Fuji</t>
  </si>
  <si>
    <t>Uppershaf L308 Fuji</t>
  </si>
  <si>
    <t>JUAL</t>
  </si>
  <si>
    <t>Tanggal 30 Juni 2026</t>
  </si>
  <si>
    <t>Stering Rack Futura</t>
  </si>
  <si>
    <t>Stabilizer Expander</t>
  </si>
  <si>
    <t>Rack End Agya/Alya</t>
  </si>
  <si>
    <t>Baut Roda (pendek)</t>
  </si>
  <si>
    <t>Baut Roda (panjang)</t>
  </si>
  <si>
    <t>Rack End New Avanza</t>
  </si>
  <si>
    <t>Filter Oli Honda</t>
  </si>
  <si>
    <t>Tutup Radiator Small</t>
  </si>
  <si>
    <t>Rack End 5k/7k</t>
  </si>
  <si>
    <t>Lower Arm Apv/Ftr</t>
  </si>
  <si>
    <t>Tutup Radiator Besar</t>
  </si>
  <si>
    <t>Fiting lampu Xi</t>
  </si>
  <si>
    <t>Stabiling Ertiga</t>
  </si>
  <si>
    <t>Oil Silicon</t>
  </si>
  <si>
    <t>Coil Avanza</t>
  </si>
  <si>
    <t>Stabilling Agya</t>
  </si>
  <si>
    <t>Pompa Solar PS</t>
  </si>
  <si>
    <t>Relay Kaki 4 Avanza,Innova,</t>
  </si>
  <si>
    <t>Tutup Oli L300,Ps,T120,ps/25</t>
  </si>
  <si>
    <t>Filter Oli Innova</t>
  </si>
  <si>
    <t>Condensor KF Carry</t>
  </si>
  <si>
    <t>Brake pad New Carry</t>
  </si>
  <si>
    <t>Tutup Tanki+ Kunci L300/PS</t>
  </si>
  <si>
    <t>Set Will Woll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</si>
</sst>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  <charset val="1"/>
    </font>
    <font>
      <sz val="8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1" applyFont="1" applyAlignment="1"/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10" xfId="1" applyFont="1" applyBorder="1" applyAlignment="1">
      <alignment horizontal="left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left"/>
    </xf>
    <xf numFmtId="3" fontId="8" fillId="0" borderId="15" xfId="1" applyNumberFormat="1" applyFont="1" applyBorder="1" applyAlignment="1">
      <alignment horizontal="left"/>
    </xf>
    <xf numFmtId="165" fontId="9" fillId="0" borderId="16" xfId="2" applyNumberFormat="1" applyFont="1" applyBorder="1" applyAlignment="1">
      <alignment horizontal="left"/>
    </xf>
    <xf numFmtId="0" fontId="8" fillId="0" borderId="15" xfId="1" applyFont="1" applyFill="1" applyBorder="1" applyAlignment="1">
      <alignment horizontal="center"/>
    </xf>
    <xf numFmtId="0" fontId="8" fillId="0" borderId="15" xfId="1" applyFont="1" applyFill="1" applyBorder="1" applyAlignment="1">
      <alignment horizontal="left"/>
    </xf>
    <xf numFmtId="3" fontId="8" fillId="0" borderId="15" xfId="1" applyNumberFormat="1" applyFont="1" applyFill="1" applyBorder="1" applyAlignment="1">
      <alignment horizontal="left"/>
    </xf>
    <xf numFmtId="165" fontId="9" fillId="0" borderId="16" xfId="2" applyNumberFormat="1" applyFont="1" applyFill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8" fillId="0" borderId="18" xfId="1" applyFont="1" applyFill="1" applyBorder="1" applyAlignment="1">
      <alignment horizontal="center"/>
    </xf>
    <xf numFmtId="0" fontId="8" fillId="0" borderId="18" xfId="1" applyFont="1" applyFill="1" applyBorder="1" applyAlignment="1">
      <alignment horizontal="left"/>
    </xf>
    <xf numFmtId="3" fontId="8" fillId="0" borderId="18" xfId="1" applyNumberFormat="1" applyFont="1" applyFill="1" applyBorder="1" applyAlignment="1">
      <alignment horizontal="left"/>
    </xf>
    <xf numFmtId="165" fontId="9" fillId="0" borderId="19" xfId="2" applyNumberFormat="1" applyFont="1" applyFill="1" applyBorder="1" applyAlignment="1">
      <alignment horizontal="left"/>
    </xf>
    <xf numFmtId="0" fontId="0" fillId="0" borderId="15" xfId="0" applyBorder="1"/>
    <xf numFmtId="165" fontId="10" fillId="2" borderId="16" xfId="0" applyNumberFormat="1" applyFont="1" applyFill="1" applyBorder="1"/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1" applyFont="1" applyBorder="1" applyAlignment="1"/>
    <xf numFmtId="0" fontId="6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left"/>
    </xf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 wrapText="1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left"/>
    </xf>
    <xf numFmtId="3" fontId="8" fillId="0" borderId="0" xfId="1" applyNumberFormat="1" applyFont="1" applyBorder="1" applyAlignment="1">
      <alignment horizontal="left"/>
    </xf>
    <xf numFmtId="165" fontId="9" fillId="0" borderId="0" xfId="2" applyNumberFormat="1" applyFont="1" applyBorder="1" applyAlignment="1">
      <alignment horizontal="left"/>
    </xf>
    <xf numFmtId="0" fontId="8" fillId="0" borderId="0" xfId="1" applyFont="1" applyFill="1" applyBorder="1" applyAlignment="1">
      <alignment horizontal="center"/>
    </xf>
    <xf numFmtId="0" fontId="8" fillId="0" borderId="0" xfId="1" applyFont="1" applyFill="1" applyBorder="1" applyAlignment="1">
      <alignment horizontal="left"/>
    </xf>
    <xf numFmtId="3" fontId="8" fillId="0" borderId="0" xfId="1" applyNumberFormat="1" applyFont="1" applyFill="1" applyBorder="1" applyAlignment="1">
      <alignment horizontal="left"/>
    </xf>
    <xf numFmtId="165" fontId="9" fillId="0" borderId="0" xfId="2" applyNumberFormat="1" applyFont="1" applyFill="1" applyBorder="1" applyAlignment="1">
      <alignment horizontal="left"/>
    </xf>
    <xf numFmtId="0" fontId="0" fillId="0" borderId="0" xfId="0" applyBorder="1"/>
    <xf numFmtId="165" fontId="10" fillId="2" borderId="0" xfId="0" applyNumberFormat="1" applyFont="1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2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 wrapText="1"/>
    </xf>
    <xf numFmtId="3" fontId="8" fillId="3" borderId="15" xfId="1" applyNumberFormat="1" applyFont="1" applyFill="1" applyBorder="1" applyAlignment="1">
      <alignment horizontal="left"/>
    </xf>
    <xf numFmtId="3" fontId="8" fillId="4" borderId="15" xfId="1" applyNumberFormat="1" applyFont="1" applyFill="1" applyBorder="1" applyAlignment="1">
      <alignment horizontal="left"/>
    </xf>
    <xf numFmtId="3" fontId="8" fillId="3" borderId="18" xfId="1" applyNumberFormat="1" applyFont="1" applyFill="1" applyBorder="1" applyAlignment="1">
      <alignment horizontal="left"/>
    </xf>
    <xf numFmtId="3" fontId="8" fillId="4" borderId="18" xfId="1" applyNumberFormat="1" applyFont="1" applyFill="1" applyBorder="1" applyAlignment="1">
      <alignment horizontal="left"/>
    </xf>
  </cellXfs>
  <cellStyles count="3">
    <cellStyle name="Comma 2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2"/>
  <sheetViews>
    <sheetView topLeftCell="A37" workbookViewId="0">
      <selection activeCell="D44" sqref="D44"/>
    </sheetView>
  </sheetViews>
  <sheetFormatPr defaultRowHeight="15" x14ac:dyDescent="0.25"/>
  <cols>
    <col min="1" max="1" width="2.7109375" customWidth="1"/>
    <col min="2" max="2" width="4" style="1" customWidth="1"/>
    <col min="3" max="3" width="5.7109375" customWidth="1"/>
    <col min="4" max="4" width="39.7109375" customWidth="1"/>
    <col min="5" max="5" width="10.7109375" customWidth="1"/>
    <col min="6" max="6" width="14.140625" customWidth="1"/>
    <col min="8" max="8" width="4.28515625" customWidth="1"/>
    <col min="9" max="9" width="5.7109375" customWidth="1"/>
    <col min="10" max="10" width="39.7109375" customWidth="1"/>
    <col min="11" max="11" width="10.7109375" customWidth="1"/>
    <col min="12" max="12" width="15.7109375" customWidth="1"/>
  </cols>
  <sheetData>
    <row r="1" spans="2:12" ht="20.25" x14ac:dyDescent="0.3">
      <c r="B1" s="50" t="s">
        <v>0</v>
      </c>
      <c r="C1" s="50"/>
      <c r="D1" s="50"/>
      <c r="E1" s="50"/>
      <c r="F1" s="50"/>
      <c r="H1" s="50" t="s">
        <v>0</v>
      </c>
      <c r="I1" s="50"/>
      <c r="J1" s="50"/>
      <c r="K1" s="50"/>
      <c r="L1" s="50"/>
    </row>
    <row r="2" spans="2:12" ht="23.25" x14ac:dyDescent="0.35">
      <c r="B2" s="51" t="s">
        <v>1</v>
      </c>
      <c r="C2" s="51"/>
      <c r="D2" s="51"/>
      <c r="E2" s="51"/>
      <c r="F2" s="51"/>
      <c r="H2" s="51" t="s">
        <v>1</v>
      </c>
      <c r="I2" s="51"/>
      <c r="J2" s="51"/>
      <c r="K2" s="51"/>
      <c r="L2" s="51"/>
    </row>
    <row r="3" spans="2:12" ht="15.75" x14ac:dyDescent="0.25">
      <c r="B3" s="52" t="s">
        <v>2</v>
      </c>
      <c r="C3" s="52"/>
      <c r="D3" s="52"/>
      <c r="E3" s="52"/>
      <c r="F3" s="52"/>
      <c r="H3" s="52" t="s">
        <v>2</v>
      </c>
      <c r="I3" s="52"/>
      <c r="J3" s="52"/>
      <c r="K3" s="52"/>
      <c r="L3" s="52"/>
    </row>
    <row r="4" spans="2:12" ht="5.0999999999999996" customHeight="1" thickBot="1" x14ac:dyDescent="0.3">
      <c r="C4" s="2"/>
      <c r="D4" s="2"/>
      <c r="E4" s="2"/>
      <c r="F4" s="2"/>
      <c r="H4" s="1"/>
      <c r="I4" s="2"/>
      <c r="J4" s="2"/>
      <c r="K4" s="2"/>
      <c r="L4" s="2"/>
    </row>
    <row r="5" spans="2:12" ht="15.75" customHeight="1" x14ac:dyDescent="0.25">
      <c r="B5" s="53" t="s">
        <v>3</v>
      </c>
      <c r="C5" s="55" t="s">
        <v>4</v>
      </c>
      <c r="D5" s="57" t="s">
        <v>5</v>
      </c>
      <c r="E5" s="3" t="s">
        <v>6</v>
      </c>
      <c r="F5" s="59" t="s">
        <v>7</v>
      </c>
      <c r="H5" s="53" t="s">
        <v>3</v>
      </c>
      <c r="I5" s="55" t="s">
        <v>4</v>
      </c>
      <c r="J5" s="57" t="s">
        <v>5</v>
      </c>
      <c r="K5" s="27" t="s">
        <v>6</v>
      </c>
      <c r="L5" s="59" t="s">
        <v>7</v>
      </c>
    </row>
    <row r="6" spans="2:12" ht="16.5" thickBot="1" x14ac:dyDescent="0.3">
      <c r="B6" s="54"/>
      <c r="C6" s="56"/>
      <c r="D6" s="58"/>
      <c r="E6" s="4" t="s">
        <v>8</v>
      </c>
      <c r="F6" s="60"/>
      <c r="H6" s="54"/>
      <c r="I6" s="56"/>
      <c r="J6" s="58"/>
      <c r="K6" s="28" t="s">
        <v>8</v>
      </c>
      <c r="L6" s="60"/>
    </row>
    <row r="7" spans="2:12" ht="5.0999999999999996" customHeight="1" x14ac:dyDescent="0.25">
      <c r="B7" s="5"/>
      <c r="C7" s="6"/>
      <c r="D7" s="7"/>
      <c r="E7" s="7"/>
      <c r="F7" s="8"/>
      <c r="H7" s="5"/>
      <c r="I7" s="6"/>
      <c r="J7" s="7"/>
      <c r="K7" s="7"/>
      <c r="L7" s="8"/>
    </row>
    <row r="8" spans="2:12" ht="20.100000000000001" customHeight="1" x14ac:dyDescent="0.25">
      <c r="B8" s="9">
        <v>1</v>
      </c>
      <c r="C8" s="10">
        <v>2</v>
      </c>
      <c r="D8" s="11" t="s">
        <v>9</v>
      </c>
      <c r="E8" s="12">
        <v>75000</v>
      </c>
      <c r="F8" s="13">
        <f>E8*C8</f>
        <v>150000</v>
      </c>
      <c r="H8" s="9">
        <v>1</v>
      </c>
      <c r="I8" s="10">
        <v>2</v>
      </c>
      <c r="J8" s="11" t="s">
        <v>9</v>
      </c>
      <c r="K8" s="12">
        <v>95000</v>
      </c>
      <c r="L8" s="13">
        <f>K8*I8</f>
        <v>190000</v>
      </c>
    </row>
    <row r="9" spans="2:12" ht="20.100000000000001" customHeight="1" x14ac:dyDescent="0.25">
      <c r="B9" s="9">
        <f>B8+1</f>
        <v>2</v>
      </c>
      <c r="C9" s="10">
        <v>2</v>
      </c>
      <c r="D9" s="11" t="s">
        <v>10</v>
      </c>
      <c r="E9" s="12">
        <v>60000</v>
      </c>
      <c r="F9" s="13">
        <f>E9*C9</f>
        <v>120000</v>
      </c>
      <c r="H9" s="9">
        <f>H8+1</f>
        <v>2</v>
      </c>
      <c r="I9" s="10">
        <v>2</v>
      </c>
      <c r="J9" s="11" t="s">
        <v>10</v>
      </c>
      <c r="K9" s="12">
        <v>80000</v>
      </c>
      <c r="L9" s="13">
        <f>K9*I9</f>
        <v>160000</v>
      </c>
    </row>
    <row r="10" spans="2:12" ht="20.100000000000001" customHeight="1" x14ac:dyDescent="0.25">
      <c r="B10" s="9">
        <f t="shared" ref="B10:B49" si="0">B9+1</f>
        <v>3</v>
      </c>
      <c r="C10" s="10">
        <v>2</v>
      </c>
      <c r="D10" s="11" t="s">
        <v>11</v>
      </c>
      <c r="E10" s="12">
        <v>60000</v>
      </c>
      <c r="F10" s="13">
        <f>E10*C10</f>
        <v>120000</v>
      </c>
      <c r="H10" s="9">
        <f t="shared" ref="H10:H49" si="1">H9+1</f>
        <v>3</v>
      </c>
      <c r="I10" s="10">
        <v>2</v>
      </c>
      <c r="J10" s="11" t="s">
        <v>11</v>
      </c>
      <c r="K10" s="12">
        <v>80000</v>
      </c>
      <c r="L10" s="13">
        <f>K10*I10</f>
        <v>160000</v>
      </c>
    </row>
    <row r="11" spans="2:12" ht="20.100000000000001" customHeight="1" x14ac:dyDescent="0.25">
      <c r="B11" s="9">
        <f t="shared" si="0"/>
        <v>4</v>
      </c>
      <c r="C11" s="10">
        <v>2</v>
      </c>
      <c r="D11" s="11" t="s">
        <v>12</v>
      </c>
      <c r="E11" s="12">
        <v>60000</v>
      </c>
      <c r="F11" s="13">
        <f t="shared" ref="F11:F49" si="2">E11*C11</f>
        <v>120000</v>
      </c>
      <c r="H11" s="9">
        <f t="shared" si="1"/>
        <v>4</v>
      </c>
      <c r="I11" s="10">
        <v>2</v>
      </c>
      <c r="J11" s="11" t="s">
        <v>12</v>
      </c>
      <c r="K11" s="12">
        <v>80000</v>
      </c>
      <c r="L11" s="13">
        <f t="shared" ref="L11:L49" si="3">K11*I11</f>
        <v>160000</v>
      </c>
    </row>
    <row r="12" spans="2:12" ht="20.100000000000001" customHeight="1" x14ac:dyDescent="0.25">
      <c r="B12" s="9">
        <f t="shared" si="0"/>
        <v>5</v>
      </c>
      <c r="C12" s="10">
        <v>2</v>
      </c>
      <c r="D12" s="11" t="s">
        <v>13</v>
      </c>
      <c r="E12" s="12">
        <v>85000</v>
      </c>
      <c r="F12" s="13">
        <f t="shared" si="2"/>
        <v>170000</v>
      </c>
      <c r="H12" s="9">
        <f t="shared" si="1"/>
        <v>5</v>
      </c>
      <c r="I12" s="10">
        <v>2</v>
      </c>
      <c r="J12" s="11" t="s">
        <v>13</v>
      </c>
      <c r="K12" s="12">
        <v>105000</v>
      </c>
      <c r="L12" s="13">
        <f t="shared" si="3"/>
        <v>210000</v>
      </c>
    </row>
    <row r="13" spans="2:12" ht="20.100000000000001" customHeight="1" x14ac:dyDescent="0.25">
      <c r="B13" s="9">
        <f t="shared" si="0"/>
        <v>6</v>
      </c>
      <c r="C13" s="10">
        <v>2</v>
      </c>
      <c r="D13" s="11" t="s">
        <v>14</v>
      </c>
      <c r="E13" s="12">
        <v>95000</v>
      </c>
      <c r="F13" s="13">
        <f t="shared" si="2"/>
        <v>190000</v>
      </c>
      <c r="H13" s="9">
        <f t="shared" si="1"/>
        <v>6</v>
      </c>
      <c r="I13" s="10">
        <v>2</v>
      </c>
      <c r="J13" s="11" t="s">
        <v>14</v>
      </c>
      <c r="K13" s="12">
        <v>115000</v>
      </c>
      <c r="L13" s="13">
        <f t="shared" si="3"/>
        <v>230000</v>
      </c>
    </row>
    <row r="14" spans="2:12" ht="20.100000000000001" customHeight="1" x14ac:dyDescent="0.25">
      <c r="B14" s="9">
        <f t="shared" si="0"/>
        <v>7</v>
      </c>
      <c r="C14" s="10">
        <v>1</v>
      </c>
      <c r="D14" s="11" t="s">
        <v>15</v>
      </c>
      <c r="E14" s="12">
        <v>90000</v>
      </c>
      <c r="F14" s="13">
        <f t="shared" si="2"/>
        <v>90000</v>
      </c>
      <c r="H14" s="9">
        <f t="shared" si="1"/>
        <v>7</v>
      </c>
      <c r="I14" s="10">
        <v>1</v>
      </c>
      <c r="J14" s="11" t="s">
        <v>15</v>
      </c>
      <c r="K14" s="12">
        <v>110000</v>
      </c>
      <c r="L14" s="13">
        <f t="shared" si="3"/>
        <v>110000</v>
      </c>
    </row>
    <row r="15" spans="2:12" ht="20.100000000000001" customHeight="1" x14ac:dyDescent="0.25">
      <c r="B15" s="9">
        <f t="shared" si="0"/>
        <v>8</v>
      </c>
      <c r="C15" s="10">
        <v>2</v>
      </c>
      <c r="D15" s="11" t="s">
        <v>16</v>
      </c>
      <c r="E15" s="12">
        <v>95000</v>
      </c>
      <c r="F15" s="13">
        <f t="shared" si="2"/>
        <v>190000</v>
      </c>
      <c r="H15" s="9">
        <f t="shared" si="1"/>
        <v>8</v>
      </c>
      <c r="I15" s="10">
        <v>2</v>
      </c>
      <c r="J15" s="11" t="s">
        <v>16</v>
      </c>
      <c r="K15" s="12">
        <v>115000</v>
      </c>
      <c r="L15" s="13">
        <f t="shared" si="3"/>
        <v>230000</v>
      </c>
    </row>
    <row r="16" spans="2:12" ht="20.100000000000001" customHeight="1" x14ac:dyDescent="0.25">
      <c r="B16" s="9">
        <f t="shared" si="0"/>
        <v>9</v>
      </c>
      <c r="C16" s="10">
        <v>2</v>
      </c>
      <c r="D16" s="11" t="s">
        <v>17</v>
      </c>
      <c r="E16" s="12">
        <v>80000</v>
      </c>
      <c r="F16" s="13">
        <f t="shared" si="2"/>
        <v>160000</v>
      </c>
      <c r="H16" s="9">
        <f t="shared" si="1"/>
        <v>9</v>
      </c>
      <c r="I16" s="10">
        <v>2</v>
      </c>
      <c r="J16" s="11" t="s">
        <v>17</v>
      </c>
      <c r="K16" s="12">
        <v>100000</v>
      </c>
      <c r="L16" s="13">
        <f t="shared" si="3"/>
        <v>200000</v>
      </c>
    </row>
    <row r="17" spans="2:12" ht="20.100000000000001" customHeight="1" x14ac:dyDescent="0.25">
      <c r="B17" s="9">
        <f t="shared" si="0"/>
        <v>10</v>
      </c>
      <c r="C17" s="10">
        <v>5</v>
      </c>
      <c r="D17" s="11" t="s">
        <v>18</v>
      </c>
      <c r="E17" s="12">
        <v>30000</v>
      </c>
      <c r="F17" s="13">
        <f t="shared" si="2"/>
        <v>150000</v>
      </c>
      <c r="H17" s="9">
        <f t="shared" si="1"/>
        <v>10</v>
      </c>
      <c r="I17" s="10">
        <v>5</v>
      </c>
      <c r="J17" s="11" t="s">
        <v>18</v>
      </c>
      <c r="K17" s="12">
        <v>38000</v>
      </c>
      <c r="L17" s="13">
        <f t="shared" si="3"/>
        <v>190000</v>
      </c>
    </row>
    <row r="18" spans="2:12" ht="20.100000000000001" customHeight="1" x14ac:dyDescent="0.25">
      <c r="B18" s="9">
        <f t="shared" si="0"/>
        <v>11</v>
      </c>
      <c r="C18" s="10">
        <v>5</v>
      </c>
      <c r="D18" s="11" t="s">
        <v>19</v>
      </c>
      <c r="E18" s="12">
        <v>19000</v>
      </c>
      <c r="F18" s="13">
        <f t="shared" si="2"/>
        <v>95000</v>
      </c>
      <c r="H18" s="9">
        <f t="shared" si="1"/>
        <v>11</v>
      </c>
      <c r="I18" s="10">
        <v>5</v>
      </c>
      <c r="J18" s="11" t="s">
        <v>19</v>
      </c>
      <c r="K18" s="12">
        <v>25000</v>
      </c>
      <c r="L18" s="13">
        <f t="shared" si="3"/>
        <v>125000</v>
      </c>
    </row>
    <row r="19" spans="2:12" ht="20.100000000000001" customHeight="1" x14ac:dyDescent="0.25">
      <c r="B19" s="9">
        <f t="shared" si="0"/>
        <v>12</v>
      </c>
      <c r="C19" s="10">
        <v>25</v>
      </c>
      <c r="D19" s="11" t="s">
        <v>20</v>
      </c>
      <c r="E19" s="12">
        <v>3600</v>
      </c>
      <c r="F19" s="13">
        <f t="shared" si="2"/>
        <v>90000</v>
      </c>
      <c r="H19" s="9">
        <f t="shared" si="1"/>
        <v>12</v>
      </c>
      <c r="I19" s="10">
        <v>25</v>
      </c>
      <c r="J19" s="11" t="s">
        <v>20</v>
      </c>
      <c r="K19" s="12">
        <v>6000</v>
      </c>
      <c r="L19" s="13">
        <f t="shared" si="3"/>
        <v>150000</v>
      </c>
    </row>
    <row r="20" spans="2:12" ht="20.100000000000001" customHeight="1" x14ac:dyDescent="0.25">
      <c r="B20" s="9">
        <f t="shared" si="0"/>
        <v>13</v>
      </c>
      <c r="C20" s="10">
        <v>10</v>
      </c>
      <c r="D20" s="11" t="s">
        <v>21</v>
      </c>
      <c r="E20" s="12">
        <v>19000</v>
      </c>
      <c r="F20" s="13">
        <f t="shared" si="2"/>
        <v>190000</v>
      </c>
      <c r="H20" s="9">
        <f t="shared" si="1"/>
        <v>13</v>
      </c>
      <c r="I20" s="10">
        <v>10</v>
      </c>
      <c r="J20" s="11" t="s">
        <v>21</v>
      </c>
      <c r="K20" s="12">
        <v>35000</v>
      </c>
      <c r="L20" s="13">
        <f t="shared" si="3"/>
        <v>350000</v>
      </c>
    </row>
    <row r="21" spans="2:12" ht="20.100000000000001" customHeight="1" x14ac:dyDescent="0.25">
      <c r="B21" s="9">
        <f t="shared" si="0"/>
        <v>14</v>
      </c>
      <c r="C21" s="10">
        <v>12</v>
      </c>
      <c r="D21" s="11" t="s">
        <v>22</v>
      </c>
      <c r="E21" s="12">
        <v>11000</v>
      </c>
      <c r="F21" s="13">
        <f t="shared" si="2"/>
        <v>132000</v>
      </c>
      <c r="H21" s="9">
        <f t="shared" si="1"/>
        <v>14</v>
      </c>
      <c r="I21" s="10">
        <v>12</v>
      </c>
      <c r="J21" s="11" t="s">
        <v>22</v>
      </c>
      <c r="K21" s="12">
        <v>15000</v>
      </c>
      <c r="L21" s="13">
        <f t="shared" si="3"/>
        <v>180000</v>
      </c>
    </row>
    <row r="22" spans="2:12" ht="20.100000000000001" customHeight="1" x14ac:dyDescent="0.25">
      <c r="B22" s="9">
        <f t="shared" si="0"/>
        <v>15</v>
      </c>
      <c r="C22" s="10">
        <v>40</v>
      </c>
      <c r="D22" s="11" t="s">
        <v>23</v>
      </c>
      <c r="E22" s="12">
        <v>3000</v>
      </c>
      <c r="F22" s="13">
        <f t="shared" si="2"/>
        <v>120000</v>
      </c>
      <c r="H22" s="9">
        <f t="shared" si="1"/>
        <v>15</v>
      </c>
      <c r="I22" s="10">
        <v>40</v>
      </c>
      <c r="J22" s="11" t="s">
        <v>23</v>
      </c>
      <c r="K22" s="12">
        <v>10000</v>
      </c>
      <c r="L22" s="13">
        <f t="shared" si="3"/>
        <v>400000</v>
      </c>
    </row>
    <row r="23" spans="2:12" ht="20.100000000000001" customHeight="1" x14ac:dyDescent="0.25">
      <c r="B23" s="9">
        <f t="shared" si="0"/>
        <v>16</v>
      </c>
      <c r="C23" s="10">
        <v>1</v>
      </c>
      <c r="D23" s="11" t="s">
        <v>24</v>
      </c>
      <c r="E23" s="12">
        <v>115000</v>
      </c>
      <c r="F23" s="13">
        <f t="shared" si="2"/>
        <v>115000</v>
      </c>
      <c r="H23" s="9">
        <f t="shared" si="1"/>
        <v>16</v>
      </c>
      <c r="I23" s="10">
        <v>1</v>
      </c>
      <c r="J23" s="11" t="s">
        <v>24</v>
      </c>
      <c r="K23" s="12">
        <v>135000</v>
      </c>
      <c r="L23" s="13">
        <f t="shared" si="3"/>
        <v>135000</v>
      </c>
    </row>
    <row r="24" spans="2:12" ht="20.100000000000001" customHeight="1" x14ac:dyDescent="0.25">
      <c r="B24" s="9">
        <f t="shared" si="0"/>
        <v>17</v>
      </c>
      <c r="C24" s="10">
        <v>1</v>
      </c>
      <c r="D24" s="11" t="s">
        <v>25</v>
      </c>
      <c r="E24" s="12">
        <v>165000</v>
      </c>
      <c r="F24" s="13">
        <f t="shared" si="2"/>
        <v>165000</v>
      </c>
      <c r="H24" s="9">
        <f t="shared" si="1"/>
        <v>17</v>
      </c>
      <c r="I24" s="10">
        <v>1</v>
      </c>
      <c r="J24" s="11" t="s">
        <v>25</v>
      </c>
      <c r="K24" s="12">
        <v>182000</v>
      </c>
      <c r="L24" s="13">
        <f t="shared" si="3"/>
        <v>182000</v>
      </c>
    </row>
    <row r="25" spans="2:12" ht="20.100000000000001" customHeight="1" x14ac:dyDescent="0.25">
      <c r="B25" s="9">
        <f t="shared" si="0"/>
        <v>18</v>
      </c>
      <c r="C25" s="10">
        <v>2</v>
      </c>
      <c r="D25" s="11" t="s">
        <v>26</v>
      </c>
      <c r="E25" s="12">
        <v>28000</v>
      </c>
      <c r="F25" s="13">
        <f t="shared" si="2"/>
        <v>56000</v>
      </c>
      <c r="H25" s="9">
        <f t="shared" si="1"/>
        <v>18</v>
      </c>
      <c r="I25" s="10">
        <v>2</v>
      </c>
      <c r="J25" s="11" t="s">
        <v>26</v>
      </c>
      <c r="K25" s="12">
        <v>40000</v>
      </c>
      <c r="L25" s="13">
        <f t="shared" si="3"/>
        <v>80000</v>
      </c>
    </row>
    <row r="26" spans="2:12" ht="20.100000000000001" customHeight="1" x14ac:dyDescent="0.25">
      <c r="B26" s="9">
        <f t="shared" si="0"/>
        <v>19</v>
      </c>
      <c r="C26" s="10">
        <v>5</v>
      </c>
      <c r="D26" s="11" t="s">
        <v>27</v>
      </c>
      <c r="E26" s="12">
        <v>26000</v>
      </c>
      <c r="F26" s="13">
        <f t="shared" si="2"/>
        <v>130000</v>
      </c>
      <c r="H26" s="9">
        <f t="shared" si="1"/>
        <v>19</v>
      </c>
      <c r="I26" s="10">
        <v>5</v>
      </c>
      <c r="J26" s="11" t="s">
        <v>27</v>
      </c>
      <c r="K26" s="12">
        <v>36000</v>
      </c>
      <c r="L26" s="13">
        <f t="shared" si="3"/>
        <v>180000</v>
      </c>
    </row>
    <row r="27" spans="2:12" ht="20.100000000000001" customHeight="1" x14ac:dyDescent="0.25">
      <c r="B27" s="9">
        <f t="shared" si="0"/>
        <v>20</v>
      </c>
      <c r="C27" s="10">
        <v>6</v>
      </c>
      <c r="D27" s="11" t="s">
        <v>28</v>
      </c>
      <c r="E27" s="12">
        <v>60000</v>
      </c>
      <c r="F27" s="13">
        <f t="shared" si="2"/>
        <v>360000</v>
      </c>
      <c r="H27" s="9">
        <f t="shared" si="1"/>
        <v>20</v>
      </c>
      <c r="I27" s="10">
        <v>6</v>
      </c>
      <c r="J27" s="11" t="s">
        <v>28</v>
      </c>
      <c r="K27" s="12">
        <v>75000</v>
      </c>
      <c r="L27" s="13">
        <f t="shared" si="3"/>
        <v>450000</v>
      </c>
    </row>
    <row r="28" spans="2:12" ht="20.100000000000001" customHeight="1" x14ac:dyDescent="0.25">
      <c r="B28" s="9">
        <f t="shared" si="0"/>
        <v>21</v>
      </c>
      <c r="C28" s="10">
        <v>2</v>
      </c>
      <c r="D28" s="11" t="s">
        <v>29</v>
      </c>
      <c r="E28" s="12">
        <v>120000</v>
      </c>
      <c r="F28" s="13">
        <f t="shared" si="2"/>
        <v>240000</v>
      </c>
      <c r="H28" s="9">
        <f t="shared" si="1"/>
        <v>21</v>
      </c>
      <c r="I28" s="10">
        <v>2</v>
      </c>
      <c r="J28" s="11" t="s">
        <v>29</v>
      </c>
      <c r="K28" s="12">
        <v>135000</v>
      </c>
      <c r="L28" s="13">
        <f t="shared" si="3"/>
        <v>270000</v>
      </c>
    </row>
    <row r="29" spans="2:12" ht="20.100000000000001" customHeight="1" x14ac:dyDescent="0.25">
      <c r="B29" s="9">
        <f t="shared" si="0"/>
        <v>22</v>
      </c>
      <c r="C29" s="10">
        <v>2</v>
      </c>
      <c r="D29" s="11" t="s">
        <v>30</v>
      </c>
      <c r="E29" s="12">
        <v>120000</v>
      </c>
      <c r="F29" s="13">
        <f t="shared" si="2"/>
        <v>240000</v>
      </c>
      <c r="H29" s="9">
        <f t="shared" si="1"/>
        <v>22</v>
      </c>
      <c r="I29" s="10">
        <v>2</v>
      </c>
      <c r="J29" s="11" t="s">
        <v>30</v>
      </c>
      <c r="K29" s="12">
        <v>135000</v>
      </c>
      <c r="L29" s="13">
        <f t="shared" si="3"/>
        <v>270000</v>
      </c>
    </row>
    <row r="30" spans="2:12" ht="20.100000000000001" customHeight="1" x14ac:dyDescent="0.25">
      <c r="B30" s="9">
        <f t="shared" si="0"/>
        <v>23</v>
      </c>
      <c r="C30" s="10">
        <v>2</v>
      </c>
      <c r="D30" s="11" t="s">
        <v>31</v>
      </c>
      <c r="E30" s="12">
        <v>135000</v>
      </c>
      <c r="F30" s="13">
        <f t="shared" si="2"/>
        <v>270000</v>
      </c>
      <c r="H30" s="9">
        <f t="shared" si="1"/>
        <v>23</v>
      </c>
      <c r="I30" s="10">
        <v>2</v>
      </c>
      <c r="J30" s="11" t="s">
        <v>31</v>
      </c>
      <c r="K30" s="12">
        <v>150000</v>
      </c>
      <c r="L30" s="13">
        <f t="shared" si="3"/>
        <v>300000</v>
      </c>
    </row>
    <row r="31" spans="2:12" ht="20.100000000000001" customHeight="1" x14ac:dyDescent="0.25">
      <c r="B31" s="9">
        <f t="shared" si="0"/>
        <v>24</v>
      </c>
      <c r="C31" s="10">
        <v>2</v>
      </c>
      <c r="D31" s="11" t="s">
        <v>32</v>
      </c>
      <c r="E31" s="12">
        <v>100000</v>
      </c>
      <c r="F31" s="13">
        <f t="shared" si="2"/>
        <v>200000</v>
      </c>
      <c r="H31" s="9">
        <f t="shared" si="1"/>
        <v>24</v>
      </c>
      <c r="I31" s="10">
        <v>2</v>
      </c>
      <c r="J31" s="11" t="s">
        <v>32</v>
      </c>
      <c r="K31" s="12">
        <v>115000</v>
      </c>
      <c r="L31" s="13">
        <f t="shared" si="3"/>
        <v>230000</v>
      </c>
    </row>
    <row r="32" spans="2:12" ht="20.100000000000001" customHeight="1" x14ac:dyDescent="0.25">
      <c r="B32" s="9">
        <f t="shared" si="0"/>
        <v>25</v>
      </c>
      <c r="C32" s="10">
        <v>100</v>
      </c>
      <c r="D32" s="11" t="s">
        <v>33</v>
      </c>
      <c r="E32" s="12">
        <v>900</v>
      </c>
      <c r="F32" s="13">
        <f t="shared" si="2"/>
        <v>90000</v>
      </c>
      <c r="H32" s="9">
        <f t="shared" si="1"/>
        <v>25</v>
      </c>
      <c r="I32" s="10">
        <v>100</v>
      </c>
      <c r="J32" s="11" t="s">
        <v>33</v>
      </c>
      <c r="K32" s="12">
        <v>3000</v>
      </c>
      <c r="L32" s="13">
        <f t="shared" si="3"/>
        <v>300000</v>
      </c>
    </row>
    <row r="33" spans="2:12" ht="20.100000000000001" customHeight="1" x14ac:dyDescent="0.25">
      <c r="B33" s="9">
        <f t="shared" si="0"/>
        <v>26</v>
      </c>
      <c r="C33" s="10">
        <v>100</v>
      </c>
      <c r="D33" s="11" t="s">
        <v>34</v>
      </c>
      <c r="E33" s="12">
        <v>1200</v>
      </c>
      <c r="F33" s="13">
        <f t="shared" si="2"/>
        <v>120000</v>
      </c>
      <c r="H33" s="9">
        <f t="shared" si="1"/>
        <v>26</v>
      </c>
      <c r="I33" s="10">
        <v>100</v>
      </c>
      <c r="J33" s="11" t="s">
        <v>34</v>
      </c>
      <c r="K33" s="12">
        <v>5000</v>
      </c>
      <c r="L33" s="13">
        <f t="shared" si="3"/>
        <v>500000</v>
      </c>
    </row>
    <row r="34" spans="2:12" ht="20.100000000000001" customHeight="1" x14ac:dyDescent="0.25">
      <c r="B34" s="9">
        <f t="shared" si="0"/>
        <v>27</v>
      </c>
      <c r="C34" s="10">
        <v>100</v>
      </c>
      <c r="D34" s="11" t="s">
        <v>35</v>
      </c>
      <c r="E34" s="12">
        <v>1200</v>
      </c>
      <c r="F34" s="13">
        <f t="shared" si="2"/>
        <v>120000</v>
      </c>
      <c r="H34" s="9">
        <f t="shared" si="1"/>
        <v>27</v>
      </c>
      <c r="I34" s="10">
        <v>100</v>
      </c>
      <c r="J34" s="11" t="s">
        <v>35</v>
      </c>
      <c r="K34" s="12">
        <v>5000</v>
      </c>
      <c r="L34" s="13">
        <f t="shared" si="3"/>
        <v>500000</v>
      </c>
    </row>
    <row r="35" spans="2:12" ht="20.100000000000001" customHeight="1" x14ac:dyDescent="0.25">
      <c r="B35" s="9">
        <f t="shared" si="0"/>
        <v>28</v>
      </c>
      <c r="C35" s="10">
        <v>200</v>
      </c>
      <c r="D35" s="11" t="s">
        <v>36</v>
      </c>
      <c r="E35" s="12">
        <v>700</v>
      </c>
      <c r="F35" s="13">
        <f t="shared" si="2"/>
        <v>140000</v>
      </c>
      <c r="H35" s="9">
        <f t="shared" si="1"/>
        <v>28</v>
      </c>
      <c r="I35" s="10">
        <v>200</v>
      </c>
      <c r="J35" s="11" t="s">
        <v>36</v>
      </c>
      <c r="K35" s="12">
        <v>3000</v>
      </c>
      <c r="L35" s="13">
        <f t="shared" si="3"/>
        <v>600000</v>
      </c>
    </row>
    <row r="36" spans="2:12" ht="20.100000000000001" customHeight="1" x14ac:dyDescent="0.25">
      <c r="B36" s="9">
        <f t="shared" si="0"/>
        <v>29</v>
      </c>
      <c r="C36" s="10">
        <v>2</v>
      </c>
      <c r="D36" s="11" t="s">
        <v>37</v>
      </c>
      <c r="E36" s="12">
        <v>120000</v>
      </c>
      <c r="F36" s="13">
        <f t="shared" si="2"/>
        <v>240000</v>
      </c>
      <c r="H36" s="9">
        <f t="shared" si="1"/>
        <v>29</v>
      </c>
      <c r="I36" s="10">
        <v>2</v>
      </c>
      <c r="J36" s="11" t="s">
        <v>37</v>
      </c>
      <c r="K36" s="12">
        <v>145000</v>
      </c>
      <c r="L36" s="13">
        <f t="shared" si="3"/>
        <v>290000</v>
      </c>
    </row>
    <row r="37" spans="2:12" ht="20.100000000000001" customHeight="1" x14ac:dyDescent="0.25">
      <c r="B37" s="9">
        <f t="shared" si="0"/>
        <v>30</v>
      </c>
      <c r="C37" s="10">
        <v>600</v>
      </c>
      <c r="D37" s="11" t="s">
        <v>38</v>
      </c>
      <c r="E37" s="12">
        <v>500</v>
      </c>
      <c r="F37" s="13">
        <f t="shared" si="2"/>
        <v>300000</v>
      </c>
      <c r="H37" s="9">
        <f t="shared" si="1"/>
        <v>30</v>
      </c>
      <c r="I37" s="10">
        <v>600</v>
      </c>
      <c r="J37" s="11" t="s">
        <v>38</v>
      </c>
      <c r="K37" s="12">
        <v>2000</v>
      </c>
      <c r="L37" s="13">
        <f t="shared" si="3"/>
        <v>1200000</v>
      </c>
    </row>
    <row r="38" spans="2:12" ht="20.100000000000001" customHeight="1" x14ac:dyDescent="0.25">
      <c r="B38" s="9">
        <f t="shared" si="0"/>
        <v>31</v>
      </c>
      <c r="C38" s="10">
        <v>500</v>
      </c>
      <c r="D38" s="11" t="s">
        <v>39</v>
      </c>
      <c r="E38" s="12">
        <v>600</v>
      </c>
      <c r="F38" s="13">
        <f t="shared" si="2"/>
        <v>300000</v>
      </c>
      <c r="H38" s="9">
        <f t="shared" si="1"/>
        <v>31</v>
      </c>
      <c r="I38" s="10">
        <v>500</v>
      </c>
      <c r="J38" s="11" t="s">
        <v>39</v>
      </c>
      <c r="K38" s="12">
        <v>2000</v>
      </c>
      <c r="L38" s="13">
        <f t="shared" si="3"/>
        <v>1000000</v>
      </c>
    </row>
    <row r="39" spans="2:12" ht="20.100000000000001" customHeight="1" x14ac:dyDescent="0.25">
      <c r="B39" s="9">
        <f t="shared" si="0"/>
        <v>32</v>
      </c>
      <c r="C39" s="10">
        <v>100</v>
      </c>
      <c r="D39" s="11" t="s">
        <v>40</v>
      </c>
      <c r="E39" s="12">
        <v>700</v>
      </c>
      <c r="F39" s="13">
        <f t="shared" si="2"/>
        <v>70000</v>
      </c>
      <c r="H39" s="9">
        <f t="shared" si="1"/>
        <v>32</v>
      </c>
      <c r="I39" s="10">
        <v>100</v>
      </c>
      <c r="J39" s="11" t="s">
        <v>40</v>
      </c>
      <c r="K39" s="12">
        <v>3000</v>
      </c>
      <c r="L39" s="13">
        <f t="shared" si="3"/>
        <v>300000</v>
      </c>
    </row>
    <row r="40" spans="2:12" ht="20.100000000000001" customHeight="1" x14ac:dyDescent="0.25">
      <c r="B40" s="9">
        <f t="shared" si="0"/>
        <v>33</v>
      </c>
      <c r="C40" s="10">
        <v>20</v>
      </c>
      <c r="D40" s="11" t="s">
        <v>41</v>
      </c>
      <c r="E40" s="12">
        <v>2600</v>
      </c>
      <c r="F40" s="13">
        <f t="shared" si="2"/>
        <v>52000</v>
      </c>
      <c r="H40" s="9">
        <f t="shared" si="1"/>
        <v>33</v>
      </c>
      <c r="I40" s="10">
        <v>20</v>
      </c>
      <c r="J40" s="11" t="s">
        <v>41</v>
      </c>
      <c r="K40" s="12">
        <v>5000</v>
      </c>
      <c r="L40" s="13">
        <f t="shared" si="3"/>
        <v>100000</v>
      </c>
    </row>
    <row r="41" spans="2:12" ht="20.100000000000001" customHeight="1" x14ac:dyDescent="0.25">
      <c r="B41" s="9">
        <f t="shared" si="0"/>
        <v>34</v>
      </c>
      <c r="C41" s="10">
        <v>50</v>
      </c>
      <c r="D41" s="11" t="s">
        <v>42</v>
      </c>
      <c r="E41" s="12">
        <v>2600</v>
      </c>
      <c r="F41" s="13">
        <f t="shared" si="2"/>
        <v>130000</v>
      </c>
      <c r="H41" s="9">
        <f t="shared" si="1"/>
        <v>34</v>
      </c>
      <c r="I41" s="10">
        <v>50</v>
      </c>
      <c r="J41" s="11" t="s">
        <v>42</v>
      </c>
      <c r="K41" s="12">
        <v>5000</v>
      </c>
      <c r="L41" s="13">
        <f t="shared" si="3"/>
        <v>250000</v>
      </c>
    </row>
    <row r="42" spans="2:12" ht="20.100000000000001" customHeight="1" x14ac:dyDescent="0.25">
      <c r="B42" s="9">
        <f t="shared" si="0"/>
        <v>35</v>
      </c>
      <c r="C42" s="10">
        <v>400</v>
      </c>
      <c r="D42" s="11" t="s">
        <v>43</v>
      </c>
      <c r="E42" s="12">
        <v>500</v>
      </c>
      <c r="F42" s="13">
        <f t="shared" si="2"/>
        <v>200000</v>
      </c>
      <c r="H42" s="9">
        <f t="shared" si="1"/>
        <v>35</v>
      </c>
      <c r="I42" s="10">
        <v>400</v>
      </c>
      <c r="J42" s="11" t="s">
        <v>43</v>
      </c>
      <c r="K42" s="12">
        <v>2000</v>
      </c>
      <c r="L42" s="13">
        <f t="shared" si="3"/>
        <v>800000</v>
      </c>
    </row>
    <row r="43" spans="2:12" ht="20.100000000000001" customHeight="1" x14ac:dyDescent="0.25">
      <c r="B43" s="9">
        <f t="shared" si="0"/>
        <v>36</v>
      </c>
      <c r="C43" s="10">
        <v>25</v>
      </c>
      <c r="D43" s="11" t="s">
        <v>44</v>
      </c>
      <c r="E43" s="12">
        <v>5400</v>
      </c>
      <c r="F43" s="13">
        <f t="shared" si="2"/>
        <v>135000</v>
      </c>
      <c r="H43" s="9">
        <f t="shared" si="1"/>
        <v>36</v>
      </c>
      <c r="I43" s="10">
        <v>25</v>
      </c>
      <c r="J43" s="11" t="s">
        <v>44</v>
      </c>
      <c r="K43" s="12">
        <v>8000</v>
      </c>
      <c r="L43" s="13">
        <f t="shared" si="3"/>
        <v>200000</v>
      </c>
    </row>
    <row r="44" spans="2:12" ht="20.100000000000001" customHeight="1" x14ac:dyDescent="0.25">
      <c r="B44" s="9">
        <f t="shared" si="0"/>
        <v>37</v>
      </c>
      <c r="C44" s="10">
        <v>10</v>
      </c>
      <c r="D44" s="11" t="s">
        <v>45</v>
      </c>
      <c r="E44" s="12">
        <v>8000</v>
      </c>
      <c r="F44" s="13">
        <f t="shared" si="2"/>
        <v>80000</v>
      </c>
      <c r="H44" s="9">
        <f t="shared" si="1"/>
        <v>37</v>
      </c>
      <c r="I44" s="10">
        <v>10</v>
      </c>
      <c r="J44" s="11" t="s">
        <v>45</v>
      </c>
      <c r="K44" s="12">
        <v>13000</v>
      </c>
      <c r="L44" s="13">
        <f t="shared" si="3"/>
        <v>130000</v>
      </c>
    </row>
    <row r="45" spans="2:12" ht="20.100000000000001" customHeight="1" x14ac:dyDescent="0.25">
      <c r="B45" s="9">
        <f t="shared" si="0"/>
        <v>38</v>
      </c>
      <c r="C45" s="10">
        <v>10</v>
      </c>
      <c r="D45" s="11" t="s">
        <v>46</v>
      </c>
      <c r="E45" s="12">
        <v>7000</v>
      </c>
      <c r="F45" s="13">
        <f t="shared" si="2"/>
        <v>70000</v>
      </c>
      <c r="H45" s="9">
        <f t="shared" si="1"/>
        <v>38</v>
      </c>
      <c r="I45" s="10">
        <v>10</v>
      </c>
      <c r="J45" s="11" t="s">
        <v>46</v>
      </c>
      <c r="K45" s="12">
        <v>10000</v>
      </c>
      <c r="L45" s="13">
        <f t="shared" si="3"/>
        <v>100000</v>
      </c>
    </row>
    <row r="46" spans="2:12" ht="20.100000000000001" customHeight="1" x14ac:dyDescent="0.25">
      <c r="B46" s="9">
        <f t="shared" si="0"/>
        <v>39</v>
      </c>
      <c r="C46" s="10">
        <v>2</v>
      </c>
      <c r="D46" s="11" t="s">
        <v>47</v>
      </c>
      <c r="E46" s="12">
        <v>265000</v>
      </c>
      <c r="F46" s="13">
        <f t="shared" si="2"/>
        <v>530000</v>
      </c>
      <c r="H46" s="9">
        <f t="shared" si="1"/>
        <v>39</v>
      </c>
      <c r="I46" s="10">
        <v>2</v>
      </c>
      <c r="J46" s="11" t="s">
        <v>47</v>
      </c>
      <c r="K46" s="12">
        <v>285000</v>
      </c>
      <c r="L46" s="13">
        <f t="shared" si="3"/>
        <v>570000</v>
      </c>
    </row>
    <row r="47" spans="2:12" ht="20.100000000000001" customHeight="1" x14ac:dyDescent="0.25">
      <c r="B47" s="9">
        <f t="shared" si="0"/>
        <v>40</v>
      </c>
      <c r="C47" s="10">
        <v>2</v>
      </c>
      <c r="D47" s="11" t="s">
        <v>48</v>
      </c>
      <c r="E47" s="12">
        <v>145000</v>
      </c>
      <c r="F47" s="13">
        <f t="shared" si="2"/>
        <v>290000</v>
      </c>
      <c r="H47" s="9">
        <f t="shared" si="1"/>
        <v>40</v>
      </c>
      <c r="I47" s="10">
        <v>2</v>
      </c>
      <c r="J47" s="11" t="s">
        <v>48</v>
      </c>
      <c r="K47" s="12">
        <v>165000</v>
      </c>
      <c r="L47" s="13">
        <f t="shared" si="3"/>
        <v>330000</v>
      </c>
    </row>
    <row r="48" spans="2:12" ht="20.100000000000001" customHeight="1" x14ac:dyDescent="0.25">
      <c r="B48" s="9">
        <f t="shared" si="0"/>
        <v>41</v>
      </c>
      <c r="C48" s="14">
        <v>5</v>
      </c>
      <c r="D48" s="15" t="s">
        <v>49</v>
      </c>
      <c r="E48" s="16">
        <v>19000</v>
      </c>
      <c r="F48" s="17">
        <f t="shared" si="2"/>
        <v>95000</v>
      </c>
      <c r="H48" s="9">
        <f t="shared" si="1"/>
        <v>41</v>
      </c>
      <c r="I48" s="14">
        <v>5</v>
      </c>
      <c r="J48" s="15" t="s">
        <v>49</v>
      </c>
      <c r="K48" s="16">
        <v>25000</v>
      </c>
      <c r="L48" s="17">
        <f t="shared" si="3"/>
        <v>125000</v>
      </c>
    </row>
    <row r="49" spans="2:12" ht="20.100000000000001" customHeight="1" x14ac:dyDescent="0.25">
      <c r="B49" s="18">
        <f t="shared" si="0"/>
        <v>42</v>
      </c>
      <c r="C49" s="19">
        <v>5</v>
      </c>
      <c r="D49" s="20" t="s">
        <v>50</v>
      </c>
      <c r="E49" s="21">
        <v>15000</v>
      </c>
      <c r="F49" s="22">
        <f t="shared" si="2"/>
        <v>75000</v>
      </c>
      <c r="H49" s="18">
        <f t="shared" si="1"/>
        <v>42</v>
      </c>
      <c r="I49" s="19">
        <v>5</v>
      </c>
      <c r="J49" s="20" t="s">
        <v>50</v>
      </c>
      <c r="K49" s="21">
        <v>20000</v>
      </c>
      <c r="L49" s="22">
        <f t="shared" si="3"/>
        <v>100000</v>
      </c>
    </row>
    <row r="50" spans="2:12" ht="30" customHeight="1" x14ac:dyDescent="0.3">
      <c r="B50" s="47" t="s">
        <v>51</v>
      </c>
      <c r="C50" s="48"/>
      <c r="D50" s="49"/>
      <c r="E50" s="23"/>
      <c r="F50" s="24">
        <f>SUM(F8:F49)</f>
        <v>6900000</v>
      </c>
      <c r="H50" s="47" t="s">
        <v>51</v>
      </c>
      <c r="I50" s="48"/>
      <c r="J50" s="49"/>
      <c r="K50" s="23"/>
      <c r="L50" s="24">
        <f>SUM(L8:L49)</f>
        <v>12537000</v>
      </c>
    </row>
    <row r="51" spans="2:12" x14ac:dyDescent="0.25">
      <c r="H51" s="1"/>
    </row>
    <row r="52" spans="2:12" x14ac:dyDescent="0.25">
      <c r="H52" s="1"/>
    </row>
  </sheetData>
  <mergeCells count="16">
    <mergeCell ref="B50:D50"/>
    <mergeCell ref="B1:F1"/>
    <mergeCell ref="B2:F2"/>
    <mergeCell ref="B3:F3"/>
    <mergeCell ref="B5:B6"/>
    <mergeCell ref="C5:C6"/>
    <mergeCell ref="D5:D6"/>
    <mergeCell ref="F5:F6"/>
    <mergeCell ref="H50:J50"/>
    <mergeCell ref="H1:L1"/>
    <mergeCell ref="H2:L2"/>
    <mergeCell ref="H3:L3"/>
    <mergeCell ref="H5:H6"/>
    <mergeCell ref="I5:I6"/>
    <mergeCell ref="J5:J6"/>
    <mergeCell ref="L5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topLeftCell="F1" workbookViewId="0">
      <selection activeCell="U9" sqref="U9"/>
    </sheetView>
  </sheetViews>
  <sheetFormatPr defaultRowHeight="15" x14ac:dyDescent="0.25"/>
  <cols>
    <col min="1" max="1" width="2.7109375" customWidth="1"/>
    <col min="2" max="2" width="5.140625" style="1" customWidth="1"/>
    <col min="3" max="3" width="6.140625" customWidth="1"/>
    <col min="4" max="4" width="39.7109375" customWidth="1"/>
    <col min="5" max="5" width="11.5703125" customWidth="1"/>
    <col min="6" max="6" width="14.5703125" customWidth="1"/>
    <col min="8" max="8" width="4.28515625" customWidth="1"/>
    <col min="9" max="9" width="5" customWidth="1"/>
    <col min="10" max="10" width="39.7109375" customWidth="1"/>
    <col min="11" max="11" width="11.28515625" customWidth="1"/>
    <col min="12" max="12" width="15.42578125" customWidth="1"/>
  </cols>
  <sheetData>
    <row r="1" spans="2:12" ht="20.25" x14ac:dyDescent="0.3">
      <c r="B1" s="50" t="s">
        <v>0</v>
      </c>
      <c r="C1" s="50"/>
      <c r="D1" s="50"/>
      <c r="E1" s="50"/>
      <c r="F1" s="50"/>
      <c r="H1" s="50" t="s">
        <v>0</v>
      </c>
      <c r="I1" s="50"/>
      <c r="J1" s="50"/>
      <c r="K1" s="50"/>
      <c r="L1" s="50"/>
    </row>
    <row r="2" spans="2:12" ht="23.25" x14ac:dyDescent="0.35">
      <c r="B2" s="51" t="s">
        <v>1</v>
      </c>
      <c r="C2" s="51"/>
      <c r="D2" s="51"/>
      <c r="E2" s="51"/>
      <c r="F2" s="51"/>
      <c r="H2" s="51" t="s">
        <v>1</v>
      </c>
      <c r="I2" s="51"/>
      <c r="J2" s="51"/>
      <c r="K2" s="51"/>
      <c r="L2" s="51"/>
    </row>
    <row r="3" spans="2:12" x14ac:dyDescent="0.25">
      <c r="B3" s="62" t="s">
        <v>52</v>
      </c>
      <c r="C3" s="62"/>
      <c r="D3" s="62"/>
      <c r="E3" s="62"/>
      <c r="F3" s="62"/>
      <c r="H3" s="62" t="s">
        <v>52</v>
      </c>
      <c r="I3" s="62"/>
      <c r="J3" s="62"/>
      <c r="K3" s="62"/>
      <c r="L3" s="62"/>
    </row>
    <row r="4" spans="2:12" ht="15.75" x14ac:dyDescent="0.25">
      <c r="B4" s="52" t="s">
        <v>2</v>
      </c>
      <c r="C4" s="52"/>
      <c r="D4" s="52"/>
      <c r="E4" s="52"/>
      <c r="F4" s="52"/>
      <c r="H4" s="52" t="s">
        <v>2</v>
      </c>
      <c r="I4" s="52"/>
      <c r="J4" s="52"/>
      <c r="K4" s="52"/>
      <c r="L4" s="52"/>
    </row>
    <row r="5" spans="2:12" ht="5.0999999999999996" customHeight="1" thickBot="1" x14ac:dyDescent="0.3">
      <c r="C5" s="2"/>
      <c r="D5" s="2"/>
      <c r="E5" s="2"/>
      <c r="F5" s="2"/>
      <c r="H5" s="1"/>
      <c r="I5" s="2"/>
      <c r="J5" s="2"/>
      <c r="K5" s="2"/>
      <c r="L5" s="2"/>
    </row>
    <row r="6" spans="2:12" ht="15.75" x14ac:dyDescent="0.25">
      <c r="B6" s="53" t="s">
        <v>3</v>
      </c>
      <c r="C6" s="55" t="s">
        <v>4</v>
      </c>
      <c r="D6" s="57" t="s">
        <v>5</v>
      </c>
      <c r="E6" s="3" t="s">
        <v>6</v>
      </c>
      <c r="F6" s="59" t="s">
        <v>7</v>
      </c>
      <c r="H6" s="53" t="s">
        <v>3</v>
      </c>
      <c r="I6" s="55" t="s">
        <v>4</v>
      </c>
      <c r="J6" s="57" t="s">
        <v>5</v>
      </c>
      <c r="K6" s="27" t="s">
        <v>6</v>
      </c>
      <c r="L6" s="59" t="s">
        <v>7</v>
      </c>
    </row>
    <row r="7" spans="2:12" ht="16.5" thickBot="1" x14ac:dyDescent="0.3">
      <c r="B7" s="54"/>
      <c r="C7" s="56"/>
      <c r="D7" s="58"/>
      <c r="E7" s="4" t="s">
        <v>8</v>
      </c>
      <c r="F7" s="60"/>
      <c r="H7" s="54"/>
      <c r="I7" s="56"/>
      <c r="J7" s="58"/>
      <c r="K7" s="28" t="s">
        <v>144</v>
      </c>
      <c r="L7" s="60"/>
    </row>
    <row r="8" spans="2:12" ht="5.0999999999999996" customHeight="1" x14ac:dyDescent="0.25">
      <c r="B8" s="5"/>
      <c r="C8" s="6"/>
      <c r="D8" s="7"/>
      <c r="E8" s="7"/>
      <c r="F8" s="8"/>
      <c r="H8" s="5"/>
      <c r="I8" s="6"/>
      <c r="J8" s="7"/>
      <c r="K8" s="7"/>
      <c r="L8" s="8"/>
    </row>
    <row r="9" spans="2:12" ht="20.100000000000001" customHeight="1" x14ac:dyDescent="0.25">
      <c r="B9" s="9">
        <v>1</v>
      </c>
      <c r="C9" s="10">
        <v>2</v>
      </c>
      <c r="D9" s="11" t="s">
        <v>53</v>
      </c>
      <c r="E9" s="70">
        <v>85000</v>
      </c>
      <c r="F9" s="13">
        <f>E9*C9</f>
        <v>170000</v>
      </c>
      <c r="H9" s="9">
        <v>1</v>
      </c>
      <c r="I9" s="10">
        <v>2</v>
      </c>
      <c r="J9" s="11" t="s">
        <v>53</v>
      </c>
      <c r="K9" s="71">
        <v>105000</v>
      </c>
      <c r="L9" s="13">
        <f>K9*I9</f>
        <v>210000</v>
      </c>
    </row>
    <row r="10" spans="2:12" ht="20.100000000000001" customHeight="1" x14ac:dyDescent="0.25">
      <c r="B10" s="9">
        <f>B9+1</f>
        <v>2</v>
      </c>
      <c r="C10" s="10">
        <v>2</v>
      </c>
      <c r="D10" s="11" t="s">
        <v>54</v>
      </c>
      <c r="E10" s="70">
        <v>60000</v>
      </c>
      <c r="F10" s="13">
        <f>E10*C10</f>
        <v>120000</v>
      </c>
      <c r="H10" s="9">
        <f>H9+1</f>
        <v>2</v>
      </c>
      <c r="I10" s="10">
        <v>2</v>
      </c>
      <c r="J10" s="11" t="s">
        <v>54</v>
      </c>
      <c r="K10" s="71">
        <v>115000</v>
      </c>
      <c r="L10" s="13">
        <f>K10*I10</f>
        <v>230000</v>
      </c>
    </row>
    <row r="11" spans="2:12" ht="20.100000000000001" customHeight="1" x14ac:dyDescent="0.25">
      <c r="B11" s="9">
        <f t="shared" ref="B11:B42" si="0">B10+1</f>
        <v>3</v>
      </c>
      <c r="C11" s="10">
        <v>2</v>
      </c>
      <c r="D11" s="11" t="s">
        <v>55</v>
      </c>
      <c r="E11" s="70">
        <v>60000</v>
      </c>
      <c r="F11" s="13">
        <f>E11*C11</f>
        <v>120000</v>
      </c>
      <c r="H11" s="9">
        <f t="shared" ref="H11:H42" si="1">H10+1</f>
        <v>3</v>
      </c>
      <c r="I11" s="10">
        <v>2</v>
      </c>
      <c r="J11" s="11" t="s">
        <v>55</v>
      </c>
      <c r="K11" s="71">
        <v>115000</v>
      </c>
      <c r="L11" s="13">
        <f>K11*I11</f>
        <v>230000</v>
      </c>
    </row>
    <row r="12" spans="2:12" ht="20.100000000000001" customHeight="1" x14ac:dyDescent="0.25">
      <c r="B12" s="9">
        <f t="shared" si="0"/>
        <v>4</v>
      </c>
      <c r="C12" s="10">
        <v>2</v>
      </c>
      <c r="D12" s="11" t="s">
        <v>56</v>
      </c>
      <c r="E12" s="70">
        <v>60000</v>
      </c>
      <c r="F12" s="13">
        <f>E12*C12</f>
        <v>120000</v>
      </c>
      <c r="H12" s="9">
        <f t="shared" si="1"/>
        <v>4</v>
      </c>
      <c r="I12" s="10">
        <v>2</v>
      </c>
      <c r="J12" s="11" t="s">
        <v>56</v>
      </c>
      <c r="K12" s="71">
        <v>115000</v>
      </c>
      <c r="L12" s="13">
        <f>K12*I12</f>
        <v>230000</v>
      </c>
    </row>
    <row r="13" spans="2:12" ht="20.100000000000001" customHeight="1" x14ac:dyDescent="0.25">
      <c r="B13" s="9">
        <f t="shared" si="0"/>
        <v>5</v>
      </c>
      <c r="C13" s="10">
        <v>2</v>
      </c>
      <c r="D13" s="11" t="s">
        <v>57</v>
      </c>
      <c r="E13" s="70">
        <v>60000</v>
      </c>
      <c r="F13" s="13">
        <f>E13*C13</f>
        <v>120000</v>
      </c>
      <c r="H13" s="9">
        <f t="shared" si="1"/>
        <v>5</v>
      </c>
      <c r="I13" s="10">
        <v>2</v>
      </c>
      <c r="J13" s="11" t="s">
        <v>57</v>
      </c>
      <c r="K13" s="71">
        <v>115000</v>
      </c>
      <c r="L13" s="13">
        <f>K13*I13</f>
        <v>230000</v>
      </c>
    </row>
    <row r="14" spans="2:12" ht="20.100000000000001" customHeight="1" x14ac:dyDescent="0.25">
      <c r="B14" s="9">
        <f t="shared" si="0"/>
        <v>6</v>
      </c>
      <c r="C14" s="10">
        <v>2</v>
      </c>
      <c r="D14" s="11" t="s">
        <v>58</v>
      </c>
      <c r="E14" s="70">
        <v>55000</v>
      </c>
      <c r="F14" s="13">
        <f>E14*2*C14</f>
        <v>220000</v>
      </c>
      <c r="H14" s="9">
        <f t="shared" si="1"/>
        <v>6</v>
      </c>
      <c r="I14" s="10">
        <v>2</v>
      </c>
      <c r="J14" s="11" t="s">
        <v>58</v>
      </c>
      <c r="K14" s="71">
        <v>65000</v>
      </c>
      <c r="L14" s="13">
        <f>K14*2*I14</f>
        <v>260000</v>
      </c>
    </row>
    <row r="15" spans="2:12" ht="20.100000000000001" customHeight="1" x14ac:dyDescent="0.25">
      <c r="B15" s="9">
        <f t="shared" si="0"/>
        <v>7</v>
      </c>
      <c r="C15" s="10">
        <v>2</v>
      </c>
      <c r="D15" s="11" t="s">
        <v>59</v>
      </c>
      <c r="E15" s="70">
        <v>40000</v>
      </c>
      <c r="F15" s="13">
        <f>E15*C15</f>
        <v>80000</v>
      </c>
      <c r="H15" s="9">
        <f t="shared" si="1"/>
        <v>7</v>
      </c>
      <c r="I15" s="10">
        <v>2</v>
      </c>
      <c r="J15" s="11" t="s">
        <v>59</v>
      </c>
      <c r="K15" s="71">
        <v>50000</v>
      </c>
      <c r="L15" s="13">
        <f>K15*I15</f>
        <v>100000</v>
      </c>
    </row>
    <row r="16" spans="2:12" ht="20.100000000000001" customHeight="1" x14ac:dyDescent="0.25">
      <c r="B16" s="9">
        <f t="shared" si="0"/>
        <v>8</v>
      </c>
      <c r="C16" s="10">
        <v>1</v>
      </c>
      <c r="D16" s="11" t="s">
        <v>60</v>
      </c>
      <c r="E16" s="70">
        <v>7000</v>
      </c>
      <c r="F16" s="13">
        <f>E16*30*C16</f>
        <v>210000</v>
      </c>
      <c r="H16" s="9">
        <f t="shared" si="1"/>
        <v>8</v>
      </c>
      <c r="I16" s="10">
        <v>1</v>
      </c>
      <c r="J16" s="11" t="s">
        <v>60</v>
      </c>
      <c r="K16" s="71">
        <v>9000</v>
      </c>
      <c r="L16" s="13">
        <f>K16*30*I16</f>
        <v>270000</v>
      </c>
    </row>
    <row r="17" spans="2:12" ht="20.100000000000001" customHeight="1" x14ac:dyDescent="0.25">
      <c r="B17" s="9">
        <f t="shared" si="0"/>
        <v>9</v>
      </c>
      <c r="C17" s="10">
        <v>1</v>
      </c>
      <c r="D17" s="11">
        <v>1</v>
      </c>
      <c r="E17" s="70">
        <v>4000</v>
      </c>
      <c r="F17" s="13">
        <f>E17*30*C17</f>
        <v>120000</v>
      </c>
      <c r="H17" s="9">
        <f t="shared" si="1"/>
        <v>9</v>
      </c>
      <c r="I17" s="10">
        <v>1</v>
      </c>
      <c r="J17" s="11">
        <v>1</v>
      </c>
      <c r="K17" s="71">
        <v>6000</v>
      </c>
      <c r="L17" s="13">
        <f>K17*30*I17</f>
        <v>180000</v>
      </c>
    </row>
    <row r="18" spans="2:12" ht="20.100000000000001" customHeight="1" x14ac:dyDescent="0.25">
      <c r="B18" s="9">
        <f t="shared" si="0"/>
        <v>10</v>
      </c>
      <c r="C18" s="10">
        <v>2</v>
      </c>
      <c r="D18" s="11" t="s">
        <v>61</v>
      </c>
      <c r="E18" s="70">
        <v>38000</v>
      </c>
      <c r="F18" s="13">
        <f t="shared" ref="F18:F42" si="2">E18*C18</f>
        <v>76000</v>
      </c>
      <c r="H18" s="9">
        <f t="shared" si="1"/>
        <v>10</v>
      </c>
      <c r="I18" s="10">
        <v>2</v>
      </c>
      <c r="J18" s="11" t="s">
        <v>61</v>
      </c>
      <c r="K18" s="71">
        <v>48000</v>
      </c>
      <c r="L18" s="13">
        <f t="shared" ref="L18:L42" si="3">K18*I18</f>
        <v>96000</v>
      </c>
    </row>
    <row r="19" spans="2:12" ht="20.100000000000001" customHeight="1" x14ac:dyDescent="0.25">
      <c r="B19" s="9">
        <f t="shared" si="0"/>
        <v>11</v>
      </c>
      <c r="C19" s="10">
        <v>8</v>
      </c>
      <c r="D19" s="11" t="s">
        <v>62</v>
      </c>
      <c r="E19" s="70">
        <v>12000</v>
      </c>
      <c r="F19" s="13">
        <f t="shared" si="2"/>
        <v>96000</v>
      </c>
      <c r="H19" s="9">
        <f t="shared" si="1"/>
        <v>11</v>
      </c>
      <c r="I19" s="10">
        <v>8</v>
      </c>
      <c r="J19" s="11" t="s">
        <v>62</v>
      </c>
      <c r="K19" s="71">
        <v>15000</v>
      </c>
      <c r="L19" s="13">
        <f t="shared" si="3"/>
        <v>120000</v>
      </c>
    </row>
    <row r="20" spans="2:12" ht="20.100000000000001" customHeight="1" x14ac:dyDescent="0.25">
      <c r="B20" s="9">
        <f t="shared" si="0"/>
        <v>12</v>
      </c>
      <c r="C20" s="10">
        <v>5</v>
      </c>
      <c r="D20" s="11" t="s">
        <v>63</v>
      </c>
      <c r="E20" s="70">
        <v>28000</v>
      </c>
      <c r="F20" s="13">
        <f t="shared" si="2"/>
        <v>140000</v>
      </c>
      <c r="H20" s="9">
        <f t="shared" si="1"/>
        <v>12</v>
      </c>
      <c r="I20" s="10">
        <v>5</v>
      </c>
      <c r="J20" s="11" t="s">
        <v>63</v>
      </c>
      <c r="K20" s="71">
        <v>48000</v>
      </c>
      <c r="L20" s="13">
        <f t="shared" si="3"/>
        <v>240000</v>
      </c>
    </row>
    <row r="21" spans="2:12" ht="20.100000000000001" customHeight="1" x14ac:dyDescent="0.25">
      <c r="B21" s="9">
        <f t="shared" si="0"/>
        <v>13</v>
      </c>
      <c r="C21" s="10">
        <v>10</v>
      </c>
      <c r="D21" s="11" t="s">
        <v>64</v>
      </c>
      <c r="E21" s="70">
        <v>8000</v>
      </c>
      <c r="F21" s="13">
        <f t="shared" si="2"/>
        <v>80000</v>
      </c>
      <c r="H21" s="9">
        <f t="shared" si="1"/>
        <v>13</v>
      </c>
      <c r="I21" s="10">
        <v>10</v>
      </c>
      <c r="J21" s="11" t="s">
        <v>64</v>
      </c>
      <c r="K21" s="71">
        <v>10000</v>
      </c>
      <c r="L21" s="13">
        <f t="shared" si="3"/>
        <v>100000</v>
      </c>
    </row>
    <row r="22" spans="2:12" ht="20.100000000000001" customHeight="1" x14ac:dyDescent="0.25">
      <c r="B22" s="9">
        <f t="shared" si="0"/>
        <v>14</v>
      </c>
      <c r="C22" s="10">
        <v>10</v>
      </c>
      <c r="D22" s="11" t="s">
        <v>65</v>
      </c>
      <c r="E22" s="70">
        <v>8000</v>
      </c>
      <c r="F22" s="13">
        <f t="shared" si="2"/>
        <v>80000</v>
      </c>
      <c r="H22" s="9">
        <f t="shared" si="1"/>
        <v>14</v>
      </c>
      <c r="I22" s="10">
        <v>10</v>
      </c>
      <c r="J22" s="11" t="s">
        <v>65</v>
      </c>
      <c r="K22" s="71">
        <v>12000</v>
      </c>
      <c r="L22" s="13">
        <f t="shared" si="3"/>
        <v>120000</v>
      </c>
    </row>
    <row r="23" spans="2:12" ht="20.100000000000001" customHeight="1" x14ac:dyDescent="0.25">
      <c r="B23" s="9">
        <f t="shared" si="0"/>
        <v>15</v>
      </c>
      <c r="C23" s="10">
        <v>2</v>
      </c>
      <c r="D23" s="11" t="s">
        <v>66</v>
      </c>
      <c r="E23" s="70">
        <v>105000</v>
      </c>
      <c r="F23" s="13">
        <f t="shared" si="2"/>
        <v>210000</v>
      </c>
      <c r="H23" s="9">
        <f t="shared" si="1"/>
        <v>15</v>
      </c>
      <c r="I23" s="10">
        <v>2</v>
      </c>
      <c r="J23" s="11" t="s">
        <v>66</v>
      </c>
      <c r="K23" s="71">
        <v>115000</v>
      </c>
      <c r="L23" s="13">
        <f t="shared" si="3"/>
        <v>230000</v>
      </c>
    </row>
    <row r="24" spans="2:12" ht="20.100000000000001" customHeight="1" x14ac:dyDescent="0.25">
      <c r="B24" s="9">
        <f t="shared" si="0"/>
        <v>16</v>
      </c>
      <c r="C24" s="10">
        <v>2</v>
      </c>
      <c r="D24" s="11" t="s">
        <v>67</v>
      </c>
      <c r="E24" s="70">
        <v>140000</v>
      </c>
      <c r="F24" s="13">
        <f t="shared" si="2"/>
        <v>280000</v>
      </c>
      <c r="H24" s="9">
        <f t="shared" si="1"/>
        <v>16</v>
      </c>
      <c r="I24" s="10">
        <v>2</v>
      </c>
      <c r="J24" s="11" t="s">
        <v>67</v>
      </c>
      <c r="K24" s="71">
        <v>165000</v>
      </c>
      <c r="L24" s="13">
        <f t="shared" si="3"/>
        <v>330000</v>
      </c>
    </row>
    <row r="25" spans="2:12" ht="20.100000000000001" customHeight="1" x14ac:dyDescent="0.25">
      <c r="B25" s="9">
        <f t="shared" si="0"/>
        <v>17</v>
      </c>
      <c r="C25" s="10">
        <v>30</v>
      </c>
      <c r="D25" s="11" t="s">
        <v>68</v>
      </c>
      <c r="E25" s="70">
        <v>2500</v>
      </c>
      <c r="F25" s="13">
        <f t="shared" si="2"/>
        <v>75000</v>
      </c>
      <c r="H25" s="9">
        <f t="shared" si="1"/>
        <v>17</v>
      </c>
      <c r="I25" s="10">
        <v>30</v>
      </c>
      <c r="J25" s="11" t="s">
        <v>68</v>
      </c>
      <c r="K25" s="71">
        <v>5000</v>
      </c>
      <c r="L25" s="13">
        <f t="shared" si="3"/>
        <v>150000</v>
      </c>
    </row>
    <row r="26" spans="2:12" ht="20.100000000000001" customHeight="1" x14ac:dyDescent="0.25">
      <c r="B26" s="9">
        <f t="shared" si="0"/>
        <v>18</v>
      </c>
      <c r="C26" s="10">
        <v>30</v>
      </c>
      <c r="D26" s="11" t="s">
        <v>69</v>
      </c>
      <c r="E26" s="70">
        <v>2500</v>
      </c>
      <c r="F26" s="13">
        <f t="shared" si="2"/>
        <v>75000</v>
      </c>
      <c r="H26" s="9">
        <f t="shared" si="1"/>
        <v>18</v>
      </c>
      <c r="I26" s="10">
        <v>30</v>
      </c>
      <c r="J26" s="11" t="s">
        <v>69</v>
      </c>
      <c r="K26" s="71">
        <v>5000</v>
      </c>
      <c r="L26" s="13">
        <f t="shared" si="3"/>
        <v>150000</v>
      </c>
    </row>
    <row r="27" spans="2:12" ht="20.100000000000001" customHeight="1" x14ac:dyDescent="0.25">
      <c r="B27" s="9">
        <f t="shared" si="0"/>
        <v>19</v>
      </c>
      <c r="C27" s="10">
        <v>2</v>
      </c>
      <c r="D27" s="11" t="s">
        <v>70</v>
      </c>
      <c r="E27" s="70">
        <v>90000</v>
      </c>
      <c r="F27" s="13">
        <f t="shared" si="2"/>
        <v>180000</v>
      </c>
      <c r="H27" s="9">
        <f t="shared" si="1"/>
        <v>19</v>
      </c>
      <c r="I27" s="10">
        <v>2</v>
      </c>
      <c r="J27" s="11" t="s">
        <v>70</v>
      </c>
      <c r="K27" s="71">
        <v>115000</v>
      </c>
      <c r="L27" s="13">
        <f t="shared" si="3"/>
        <v>230000</v>
      </c>
    </row>
    <row r="28" spans="2:12" ht="20.100000000000001" customHeight="1" x14ac:dyDescent="0.25">
      <c r="B28" s="9">
        <f t="shared" si="0"/>
        <v>20</v>
      </c>
      <c r="C28" s="10">
        <v>2</v>
      </c>
      <c r="D28" s="11" t="s">
        <v>71</v>
      </c>
      <c r="E28" s="70">
        <v>90000</v>
      </c>
      <c r="F28" s="13">
        <f t="shared" si="2"/>
        <v>180000</v>
      </c>
      <c r="H28" s="9">
        <f t="shared" si="1"/>
        <v>20</v>
      </c>
      <c r="I28" s="10">
        <v>2</v>
      </c>
      <c r="J28" s="11" t="s">
        <v>71</v>
      </c>
      <c r="K28" s="71">
        <v>115000</v>
      </c>
      <c r="L28" s="13">
        <f t="shared" si="3"/>
        <v>230000</v>
      </c>
    </row>
    <row r="29" spans="2:12" ht="20.100000000000001" customHeight="1" x14ac:dyDescent="0.25">
      <c r="B29" s="9">
        <f t="shared" si="0"/>
        <v>21</v>
      </c>
      <c r="C29" s="10">
        <v>2</v>
      </c>
      <c r="D29" s="11" t="s">
        <v>72</v>
      </c>
      <c r="E29" s="70">
        <v>95000</v>
      </c>
      <c r="F29" s="13">
        <f t="shared" si="2"/>
        <v>190000</v>
      </c>
      <c r="H29" s="9">
        <f t="shared" si="1"/>
        <v>21</v>
      </c>
      <c r="I29" s="10">
        <v>2</v>
      </c>
      <c r="J29" s="11" t="s">
        <v>72</v>
      </c>
      <c r="K29" s="71">
        <v>120000</v>
      </c>
      <c r="L29" s="13">
        <f t="shared" si="3"/>
        <v>240000</v>
      </c>
    </row>
    <row r="30" spans="2:12" ht="20.100000000000001" customHeight="1" x14ac:dyDescent="0.25">
      <c r="B30" s="9">
        <f t="shared" si="0"/>
        <v>22</v>
      </c>
      <c r="C30" s="10">
        <v>2</v>
      </c>
      <c r="D30" s="11" t="s">
        <v>73</v>
      </c>
      <c r="E30" s="70">
        <v>95000</v>
      </c>
      <c r="F30" s="13">
        <f t="shared" si="2"/>
        <v>190000</v>
      </c>
      <c r="H30" s="9">
        <f t="shared" si="1"/>
        <v>22</v>
      </c>
      <c r="I30" s="10">
        <v>2</v>
      </c>
      <c r="J30" s="11" t="s">
        <v>73</v>
      </c>
      <c r="K30" s="71">
        <v>130000</v>
      </c>
      <c r="L30" s="13">
        <f t="shared" si="3"/>
        <v>260000</v>
      </c>
    </row>
    <row r="31" spans="2:12" ht="20.100000000000001" customHeight="1" x14ac:dyDescent="0.25">
      <c r="B31" s="9">
        <f t="shared" si="0"/>
        <v>23</v>
      </c>
      <c r="C31" s="10">
        <v>1</v>
      </c>
      <c r="D31" s="11" t="s">
        <v>74</v>
      </c>
      <c r="E31" s="70">
        <v>325000</v>
      </c>
      <c r="F31" s="13">
        <f t="shared" si="2"/>
        <v>325000</v>
      </c>
      <c r="H31" s="9">
        <f t="shared" si="1"/>
        <v>23</v>
      </c>
      <c r="I31" s="10">
        <v>1</v>
      </c>
      <c r="J31" s="11" t="s">
        <v>74</v>
      </c>
      <c r="K31" s="71">
        <v>350000</v>
      </c>
      <c r="L31" s="13">
        <f t="shared" si="3"/>
        <v>350000</v>
      </c>
    </row>
    <row r="32" spans="2:12" ht="20.100000000000001" customHeight="1" x14ac:dyDescent="0.25">
      <c r="B32" s="9">
        <f t="shared" si="0"/>
        <v>24</v>
      </c>
      <c r="C32" s="10">
        <v>2</v>
      </c>
      <c r="D32" s="11" t="s">
        <v>75</v>
      </c>
      <c r="E32" s="70">
        <v>185000</v>
      </c>
      <c r="F32" s="13">
        <f t="shared" si="2"/>
        <v>370000</v>
      </c>
      <c r="H32" s="9">
        <f t="shared" si="1"/>
        <v>24</v>
      </c>
      <c r="I32" s="10">
        <v>2</v>
      </c>
      <c r="J32" s="11" t="s">
        <v>75</v>
      </c>
      <c r="K32" s="71">
        <v>225000</v>
      </c>
      <c r="L32" s="13">
        <f t="shared" si="3"/>
        <v>450000</v>
      </c>
    </row>
    <row r="33" spans="2:12" ht="20.100000000000001" customHeight="1" x14ac:dyDescent="0.25">
      <c r="B33" s="9">
        <f t="shared" si="0"/>
        <v>25</v>
      </c>
      <c r="C33" s="10">
        <v>2</v>
      </c>
      <c r="D33" s="11" t="s">
        <v>76</v>
      </c>
      <c r="E33" s="70">
        <v>26000</v>
      </c>
      <c r="F33" s="13">
        <f t="shared" si="2"/>
        <v>52000</v>
      </c>
      <c r="H33" s="9">
        <f t="shared" si="1"/>
        <v>25</v>
      </c>
      <c r="I33" s="10">
        <v>2</v>
      </c>
      <c r="J33" s="11" t="s">
        <v>76</v>
      </c>
      <c r="K33" s="71">
        <v>45000</v>
      </c>
      <c r="L33" s="13">
        <f t="shared" si="3"/>
        <v>90000</v>
      </c>
    </row>
    <row r="34" spans="2:12" ht="20.100000000000001" customHeight="1" x14ac:dyDescent="0.25">
      <c r="B34" s="9">
        <f t="shared" si="0"/>
        <v>26</v>
      </c>
      <c r="C34" s="10">
        <v>2</v>
      </c>
      <c r="D34" s="11" t="s">
        <v>77</v>
      </c>
      <c r="E34" s="70">
        <v>30000</v>
      </c>
      <c r="F34" s="13">
        <f t="shared" si="2"/>
        <v>60000</v>
      </c>
      <c r="H34" s="9">
        <f t="shared" si="1"/>
        <v>26</v>
      </c>
      <c r="I34" s="10">
        <v>2</v>
      </c>
      <c r="J34" s="11" t="s">
        <v>77</v>
      </c>
      <c r="K34" s="71">
        <v>38000</v>
      </c>
      <c r="L34" s="13">
        <f t="shared" si="3"/>
        <v>76000</v>
      </c>
    </row>
    <row r="35" spans="2:12" ht="20.100000000000001" customHeight="1" x14ac:dyDescent="0.25">
      <c r="B35" s="9">
        <f t="shared" si="0"/>
        <v>27</v>
      </c>
      <c r="C35" s="10">
        <v>2</v>
      </c>
      <c r="D35" s="11" t="s">
        <v>78</v>
      </c>
      <c r="E35" s="70">
        <v>42000</v>
      </c>
      <c r="F35" s="13">
        <f t="shared" si="2"/>
        <v>84000</v>
      </c>
      <c r="H35" s="9">
        <f t="shared" si="1"/>
        <v>27</v>
      </c>
      <c r="I35" s="10">
        <v>2</v>
      </c>
      <c r="J35" s="11" t="s">
        <v>78</v>
      </c>
      <c r="K35" s="71">
        <v>50000</v>
      </c>
      <c r="L35" s="13">
        <f t="shared" si="3"/>
        <v>100000</v>
      </c>
    </row>
    <row r="36" spans="2:12" ht="20.100000000000001" customHeight="1" x14ac:dyDescent="0.25">
      <c r="B36" s="9">
        <f t="shared" si="0"/>
        <v>28</v>
      </c>
      <c r="C36" s="10">
        <v>2</v>
      </c>
      <c r="D36" s="11" t="s">
        <v>79</v>
      </c>
      <c r="E36" s="70">
        <v>58000</v>
      </c>
      <c r="F36" s="13">
        <f t="shared" si="2"/>
        <v>116000</v>
      </c>
      <c r="H36" s="9">
        <f t="shared" si="1"/>
        <v>28</v>
      </c>
      <c r="I36" s="10">
        <v>2</v>
      </c>
      <c r="J36" s="11" t="s">
        <v>79</v>
      </c>
      <c r="K36" s="71">
        <v>68000</v>
      </c>
      <c r="L36" s="13">
        <f t="shared" si="3"/>
        <v>136000</v>
      </c>
    </row>
    <row r="37" spans="2:12" ht="20.100000000000001" customHeight="1" x14ac:dyDescent="0.25">
      <c r="B37" s="9">
        <f t="shared" si="0"/>
        <v>29</v>
      </c>
      <c r="C37" s="10">
        <v>2</v>
      </c>
      <c r="D37" s="11" t="s">
        <v>80</v>
      </c>
      <c r="E37" s="70">
        <v>68000</v>
      </c>
      <c r="F37" s="13">
        <f t="shared" si="2"/>
        <v>136000</v>
      </c>
      <c r="H37" s="9">
        <f t="shared" si="1"/>
        <v>29</v>
      </c>
      <c r="I37" s="10">
        <v>2</v>
      </c>
      <c r="J37" s="11" t="s">
        <v>80</v>
      </c>
      <c r="K37" s="71">
        <v>78000</v>
      </c>
      <c r="L37" s="13">
        <f t="shared" si="3"/>
        <v>156000</v>
      </c>
    </row>
    <row r="38" spans="2:12" ht="20.100000000000001" customHeight="1" x14ac:dyDescent="0.25">
      <c r="B38" s="9">
        <f t="shared" si="0"/>
        <v>30</v>
      </c>
      <c r="C38" s="10">
        <v>2</v>
      </c>
      <c r="D38" s="11" t="s">
        <v>81</v>
      </c>
      <c r="E38" s="70">
        <v>78000</v>
      </c>
      <c r="F38" s="13">
        <f t="shared" si="2"/>
        <v>156000</v>
      </c>
      <c r="H38" s="9">
        <f t="shared" si="1"/>
        <v>30</v>
      </c>
      <c r="I38" s="10">
        <v>2</v>
      </c>
      <c r="J38" s="11" t="s">
        <v>81</v>
      </c>
      <c r="K38" s="71">
        <v>88000</v>
      </c>
      <c r="L38" s="13">
        <f t="shared" si="3"/>
        <v>176000</v>
      </c>
    </row>
    <row r="39" spans="2:12" ht="20.100000000000001" customHeight="1" x14ac:dyDescent="0.25">
      <c r="B39" s="9">
        <f t="shared" si="0"/>
        <v>31</v>
      </c>
      <c r="C39" s="10">
        <v>2</v>
      </c>
      <c r="D39" s="11" t="s">
        <v>111</v>
      </c>
      <c r="E39" s="70">
        <v>88000</v>
      </c>
      <c r="F39" s="13">
        <f t="shared" si="2"/>
        <v>176000</v>
      </c>
      <c r="H39" s="9">
        <f t="shared" si="1"/>
        <v>31</v>
      </c>
      <c r="I39" s="10">
        <v>2</v>
      </c>
      <c r="J39" s="11" t="s">
        <v>111</v>
      </c>
      <c r="K39" s="71">
        <v>98000</v>
      </c>
      <c r="L39" s="13">
        <f t="shared" si="3"/>
        <v>196000</v>
      </c>
    </row>
    <row r="40" spans="2:12" ht="20.100000000000001" customHeight="1" x14ac:dyDescent="0.25">
      <c r="B40" s="9">
        <f t="shared" si="0"/>
        <v>32</v>
      </c>
      <c r="C40" s="10">
        <v>2</v>
      </c>
      <c r="D40" s="11" t="s">
        <v>82</v>
      </c>
      <c r="E40" s="70">
        <v>100000</v>
      </c>
      <c r="F40" s="13">
        <f t="shared" si="2"/>
        <v>200000</v>
      </c>
      <c r="H40" s="9">
        <f t="shared" si="1"/>
        <v>32</v>
      </c>
      <c r="I40" s="10">
        <v>2</v>
      </c>
      <c r="J40" s="11" t="s">
        <v>82</v>
      </c>
      <c r="K40" s="71">
        <v>110000</v>
      </c>
      <c r="L40" s="13">
        <f t="shared" si="3"/>
        <v>220000</v>
      </c>
    </row>
    <row r="41" spans="2:12" ht="20.100000000000001" customHeight="1" x14ac:dyDescent="0.25">
      <c r="B41" s="9">
        <f t="shared" si="0"/>
        <v>33</v>
      </c>
      <c r="C41" s="10">
        <v>2</v>
      </c>
      <c r="D41" s="11" t="s">
        <v>83</v>
      </c>
      <c r="E41" s="70">
        <v>34000</v>
      </c>
      <c r="F41" s="13">
        <f t="shared" si="2"/>
        <v>68000</v>
      </c>
      <c r="H41" s="9">
        <f t="shared" si="1"/>
        <v>33</v>
      </c>
      <c r="I41" s="10">
        <v>2</v>
      </c>
      <c r="J41" s="11" t="s">
        <v>83</v>
      </c>
      <c r="K41" s="71">
        <v>45000</v>
      </c>
      <c r="L41" s="13">
        <f t="shared" si="3"/>
        <v>90000</v>
      </c>
    </row>
    <row r="42" spans="2:12" ht="20.100000000000001" customHeight="1" x14ac:dyDescent="0.25">
      <c r="B42" s="9">
        <f t="shared" si="0"/>
        <v>34</v>
      </c>
      <c r="C42" s="19"/>
      <c r="D42" s="20"/>
      <c r="E42" s="72"/>
      <c r="F42" s="22">
        <f t="shared" si="2"/>
        <v>0</v>
      </c>
      <c r="H42" s="9">
        <f t="shared" si="1"/>
        <v>34</v>
      </c>
      <c r="I42" s="19"/>
      <c r="J42" s="20"/>
      <c r="K42" s="73"/>
      <c r="L42" s="22">
        <f t="shared" si="3"/>
        <v>0</v>
      </c>
    </row>
    <row r="43" spans="2:12" ht="30" customHeight="1" x14ac:dyDescent="0.3">
      <c r="B43" s="47" t="s">
        <v>51</v>
      </c>
      <c r="C43" s="48"/>
      <c r="D43" s="49"/>
      <c r="E43" s="23"/>
      <c r="F43" s="24">
        <f>SUM(F9:F42)</f>
        <v>4875000</v>
      </c>
      <c r="H43" s="47" t="s">
        <v>51</v>
      </c>
      <c r="I43" s="48"/>
      <c r="J43" s="49"/>
      <c r="K43" s="23"/>
      <c r="L43" s="24">
        <f>SUM(L9:L42)</f>
        <v>6476000</v>
      </c>
    </row>
    <row r="44" spans="2:12" x14ac:dyDescent="0.25">
      <c r="H44" s="1"/>
    </row>
    <row r="45" spans="2:12" x14ac:dyDescent="0.25">
      <c r="H45" s="1"/>
    </row>
    <row r="50" spans="2:6" ht="20.25" x14ac:dyDescent="0.3">
      <c r="B50" s="63"/>
      <c r="C50" s="63"/>
      <c r="D50" s="63"/>
      <c r="E50" s="63"/>
      <c r="F50" s="63"/>
    </row>
    <row r="51" spans="2:6" ht="23.25" x14ac:dyDescent="0.35">
      <c r="B51" s="64"/>
      <c r="C51" s="64"/>
      <c r="D51" s="64"/>
      <c r="E51" s="64"/>
      <c r="F51" s="64"/>
    </row>
    <row r="52" spans="2:6" x14ac:dyDescent="0.25">
      <c r="B52" s="65"/>
      <c r="C52" s="65"/>
      <c r="D52" s="65"/>
      <c r="E52" s="65"/>
      <c r="F52" s="65"/>
    </row>
    <row r="53" spans="2:6" ht="15.75" x14ac:dyDescent="0.25">
      <c r="B53" s="66"/>
      <c r="C53" s="66"/>
      <c r="D53" s="66"/>
      <c r="E53" s="66"/>
      <c r="F53" s="66"/>
    </row>
    <row r="54" spans="2:6" ht="15.75" x14ac:dyDescent="0.25">
      <c r="B54" s="31"/>
      <c r="C54" s="32"/>
      <c r="D54" s="32"/>
      <c r="E54" s="32"/>
      <c r="F54" s="32"/>
    </row>
    <row r="55" spans="2:6" ht="15.75" x14ac:dyDescent="0.25">
      <c r="B55" s="67"/>
      <c r="C55" s="68"/>
      <c r="D55" s="68"/>
      <c r="E55" s="33"/>
      <c r="F55" s="69"/>
    </row>
    <row r="56" spans="2:6" ht="15.75" x14ac:dyDescent="0.25">
      <c r="B56" s="67"/>
      <c r="C56" s="68"/>
      <c r="D56" s="68"/>
      <c r="E56" s="33"/>
      <c r="F56" s="69"/>
    </row>
    <row r="57" spans="2:6" ht="15.75" x14ac:dyDescent="0.25">
      <c r="B57" s="31"/>
      <c r="C57" s="34"/>
      <c r="D57" s="35"/>
      <c r="E57" s="35"/>
      <c r="F57" s="36"/>
    </row>
    <row r="58" spans="2:6" ht="15.75" x14ac:dyDescent="0.25">
      <c r="B58" s="31"/>
      <c r="C58" s="37"/>
      <c r="D58" s="38"/>
      <c r="E58" s="39"/>
      <c r="F58" s="40"/>
    </row>
    <row r="59" spans="2:6" ht="15.75" x14ac:dyDescent="0.25">
      <c r="B59" s="31"/>
      <c r="C59" s="37"/>
      <c r="D59" s="38"/>
      <c r="E59" s="39"/>
      <c r="F59" s="40"/>
    </row>
    <row r="60" spans="2:6" ht="15.75" x14ac:dyDescent="0.25">
      <c r="B60" s="31"/>
      <c r="C60" s="37"/>
      <c r="D60" s="38"/>
      <c r="E60" s="39"/>
      <c r="F60" s="40"/>
    </row>
    <row r="61" spans="2:6" ht="15.75" x14ac:dyDescent="0.25">
      <c r="B61" s="31"/>
      <c r="C61" s="37"/>
      <c r="D61" s="38"/>
      <c r="E61" s="39"/>
      <c r="F61" s="40"/>
    </row>
    <row r="62" spans="2:6" ht="15.75" x14ac:dyDescent="0.25">
      <c r="B62" s="31"/>
      <c r="C62" s="37"/>
      <c r="D62" s="38"/>
      <c r="E62" s="39"/>
      <c r="F62" s="40"/>
    </row>
    <row r="63" spans="2:6" ht="15.75" x14ac:dyDescent="0.25">
      <c r="B63" s="31"/>
      <c r="C63" s="37"/>
      <c r="D63" s="38"/>
      <c r="E63" s="39"/>
      <c r="F63" s="40"/>
    </row>
    <row r="64" spans="2:6" ht="15.75" x14ac:dyDescent="0.25">
      <c r="B64" s="31"/>
      <c r="C64" s="37"/>
      <c r="D64" s="38"/>
      <c r="E64" s="39"/>
      <c r="F64" s="40"/>
    </row>
    <row r="65" spans="2:6" ht="15.75" x14ac:dyDescent="0.25">
      <c r="B65" s="31"/>
      <c r="C65" s="37"/>
      <c r="D65" s="38"/>
      <c r="E65" s="39"/>
      <c r="F65" s="40"/>
    </row>
    <row r="66" spans="2:6" ht="15.75" x14ac:dyDescent="0.25">
      <c r="B66" s="31"/>
      <c r="C66" s="37"/>
      <c r="D66" s="38"/>
      <c r="E66" s="39"/>
      <c r="F66" s="40"/>
    </row>
    <row r="67" spans="2:6" ht="15.75" x14ac:dyDescent="0.25">
      <c r="B67" s="31"/>
      <c r="C67" s="37"/>
      <c r="D67" s="38"/>
      <c r="E67" s="39"/>
      <c r="F67" s="40"/>
    </row>
    <row r="68" spans="2:6" ht="15.75" x14ac:dyDescent="0.25">
      <c r="B68" s="31"/>
      <c r="C68" s="37"/>
      <c r="D68" s="38"/>
      <c r="E68" s="39"/>
      <c r="F68" s="40"/>
    </row>
    <row r="69" spans="2:6" ht="15.75" x14ac:dyDescent="0.25">
      <c r="B69" s="31"/>
      <c r="C69" s="37"/>
      <c r="D69" s="38"/>
      <c r="E69" s="39"/>
      <c r="F69" s="40"/>
    </row>
    <row r="70" spans="2:6" ht="15.75" x14ac:dyDescent="0.25">
      <c r="B70" s="31"/>
      <c r="C70" s="37"/>
      <c r="D70" s="38"/>
      <c r="E70" s="39"/>
      <c r="F70" s="40"/>
    </row>
    <row r="71" spans="2:6" ht="15.75" x14ac:dyDescent="0.25">
      <c r="B71" s="31"/>
      <c r="C71" s="37"/>
      <c r="D71" s="38"/>
      <c r="E71" s="39"/>
      <c r="F71" s="40"/>
    </row>
    <row r="72" spans="2:6" ht="15.75" x14ac:dyDescent="0.25">
      <c r="B72" s="31"/>
      <c r="C72" s="37"/>
      <c r="D72" s="38"/>
      <c r="E72" s="39"/>
      <c r="F72" s="40"/>
    </row>
    <row r="73" spans="2:6" ht="15.75" x14ac:dyDescent="0.25">
      <c r="B73" s="31"/>
      <c r="C73" s="37"/>
      <c r="D73" s="38"/>
      <c r="E73" s="39"/>
      <c r="F73" s="40"/>
    </row>
    <row r="74" spans="2:6" ht="15.75" x14ac:dyDescent="0.25">
      <c r="B74" s="31"/>
      <c r="C74" s="37"/>
      <c r="D74" s="38"/>
      <c r="E74" s="39"/>
      <c r="F74" s="40"/>
    </row>
    <row r="75" spans="2:6" ht="15.75" x14ac:dyDescent="0.25">
      <c r="B75" s="31"/>
      <c r="C75" s="37"/>
      <c r="D75" s="38"/>
      <c r="E75" s="39"/>
      <c r="F75" s="40"/>
    </row>
    <row r="76" spans="2:6" ht="15.75" x14ac:dyDescent="0.25">
      <c r="B76" s="31"/>
      <c r="C76" s="37"/>
      <c r="D76" s="38"/>
      <c r="E76" s="39"/>
      <c r="F76" s="40"/>
    </row>
    <row r="77" spans="2:6" ht="15.75" x14ac:dyDescent="0.25">
      <c r="B77" s="31"/>
      <c r="C77" s="37"/>
      <c r="D77" s="38"/>
      <c r="E77" s="39"/>
      <c r="F77" s="40"/>
    </row>
    <row r="78" spans="2:6" ht="15.75" x14ac:dyDescent="0.25">
      <c r="B78" s="31"/>
      <c r="C78" s="37"/>
      <c r="D78" s="38"/>
      <c r="E78" s="39"/>
      <c r="F78" s="40"/>
    </row>
    <row r="79" spans="2:6" ht="15.75" x14ac:dyDescent="0.25">
      <c r="B79" s="31"/>
      <c r="C79" s="37"/>
      <c r="D79" s="38"/>
      <c r="E79" s="39"/>
      <c r="F79" s="40"/>
    </row>
    <row r="80" spans="2:6" ht="15.75" x14ac:dyDescent="0.25">
      <c r="B80" s="31"/>
      <c r="C80" s="37"/>
      <c r="D80" s="38"/>
      <c r="E80" s="39"/>
      <c r="F80" s="40"/>
    </row>
    <row r="81" spans="2:6" ht="15.75" x14ac:dyDescent="0.25">
      <c r="B81" s="31"/>
      <c r="C81" s="37"/>
      <c r="D81" s="38"/>
      <c r="E81" s="39"/>
      <c r="F81" s="40"/>
    </row>
    <row r="82" spans="2:6" ht="15.75" x14ac:dyDescent="0.25">
      <c r="B82" s="31"/>
      <c r="C82" s="37"/>
      <c r="D82" s="38"/>
      <c r="E82" s="39"/>
      <c r="F82" s="40"/>
    </row>
    <row r="83" spans="2:6" ht="15.75" x14ac:dyDescent="0.25">
      <c r="B83" s="31"/>
      <c r="C83" s="37"/>
      <c r="D83" s="38"/>
      <c r="E83" s="39"/>
      <c r="F83" s="40"/>
    </row>
    <row r="84" spans="2:6" ht="15.75" x14ac:dyDescent="0.25">
      <c r="B84" s="31"/>
      <c r="C84" s="37"/>
      <c r="D84" s="38"/>
      <c r="E84" s="39"/>
      <c r="F84" s="40"/>
    </row>
    <row r="85" spans="2:6" ht="15.75" x14ac:dyDescent="0.25">
      <c r="B85" s="31"/>
      <c r="C85" s="37"/>
      <c r="D85" s="38"/>
      <c r="E85" s="39"/>
      <c r="F85" s="40"/>
    </row>
    <row r="86" spans="2:6" ht="15.75" x14ac:dyDescent="0.25">
      <c r="B86" s="31"/>
      <c r="C86" s="37"/>
      <c r="D86" s="38"/>
      <c r="E86" s="39"/>
      <c r="F86" s="40"/>
    </row>
    <row r="87" spans="2:6" ht="15.75" x14ac:dyDescent="0.25">
      <c r="B87" s="31"/>
      <c r="C87" s="37"/>
      <c r="D87" s="38"/>
      <c r="E87" s="39"/>
      <c r="F87" s="40"/>
    </row>
    <row r="88" spans="2:6" ht="15.75" x14ac:dyDescent="0.25">
      <c r="B88" s="31"/>
      <c r="C88" s="37"/>
      <c r="D88" s="38"/>
      <c r="E88" s="39"/>
      <c r="F88" s="40"/>
    </row>
    <row r="89" spans="2:6" ht="15.75" x14ac:dyDescent="0.25">
      <c r="B89" s="31"/>
      <c r="C89" s="37"/>
      <c r="D89" s="38"/>
      <c r="E89" s="39"/>
      <c r="F89" s="40"/>
    </row>
    <row r="90" spans="2:6" ht="15.75" x14ac:dyDescent="0.25">
      <c r="B90" s="31"/>
      <c r="C90" s="37"/>
      <c r="D90" s="38"/>
      <c r="E90" s="39"/>
      <c r="F90" s="40"/>
    </row>
    <row r="91" spans="2:6" ht="15.75" x14ac:dyDescent="0.25">
      <c r="B91" s="31"/>
      <c r="C91" s="41"/>
      <c r="D91" s="42"/>
      <c r="E91" s="43"/>
      <c r="F91" s="44"/>
    </row>
    <row r="92" spans="2:6" ht="18.75" x14ac:dyDescent="0.3">
      <c r="B92" s="61"/>
      <c r="C92" s="61"/>
      <c r="D92" s="61"/>
      <c r="E92" s="45"/>
      <c r="F92" s="46"/>
    </row>
  </sheetData>
  <mergeCells count="27">
    <mergeCell ref="D55:D56"/>
    <mergeCell ref="F55:F56"/>
    <mergeCell ref="B43:D43"/>
    <mergeCell ref="B3:F3"/>
    <mergeCell ref="B1:F1"/>
    <mergeCell ref="B2:F2"/>
    <mergeCell ref="B4:F4"/>
    <mergeCell ref="B6:B7"/>
    <mergeCell ref="C6:C7"/>
    <mergeCell ref="D6:D7"/>
    <mergeCell ref="F6:F7"/>
    <mergeCell ref="B92:D92"/>
    <mergeCell ref="H1:L1"/>
    <mergeCell ref="H2:L2"/>
    <mergeCell ref="H3:L3"/>
    <mergeCell ref="H4:L4"/>
    <mergeCell ref="H6:H7"/>
    <mergeCell ref="I6:I7"/>
    <mergeCell ref="J6:J7"/>
    <mergeCell ref="L6:L7"/>
    <mergeCell ref="H43:J43"/>
    <mergeCell ref="B50:F50"/>
    <mergeCell ref="B51:F51"/>
    <mergeCell ref="B52:F52"/>
    <mergeCell ref="B53:F53"/>
    <mergeCell ref="B55:B56"/>
    <mergeCell ref="C55:C56"/>
  </mergeCells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8"/>
  <sheetViews>
    <sheetView workbookViewId="0">
      <selection activeCell="K8" sqref="K8"/>
    </sheetView>
  </sheetViews>
  <sheetFormatPr defaultRowHeight="15" x14ac:dyDescent="0.25"/>
  <cols>
    <col min="1" max="1" width="2.7109375" customWidth="1"/>
    <col min="2" max="2" width="5.140625" style="1" customWidth="1"/>
    <col min="3" max="3" width="6.140625" customWidth="1"/>
    <col min="4" max="4" width="34.85546875" customWidth="1"/>
    <col min="5" max="5" width="13.7109375" customWidth="1"/>
    <col min="6" max="6" width="14.7109375" customWidth="1"/>
    <col min="8" max="8" width="4.28515625" customWidth="1"/>
    <col min="9" max="9" width="5.7109375" customWidth="1"/>
    <col min="10" max="10" width="34.85546875" customWidth="1"/>
    <col min="11" max="11" width="13.7109375" customWidth="1"/>
    <col min="12" max="12" width="16.42578125" customWidth="1"/>
  </cols>
  <sheetData>
    <row r="1" spans="2:12" ht="20.25" x14ac:dyDescent="0.3">
      <c r="B1" s="50" t="s">
        <v>0</v>
      </c>
      <c r="C1" s="50"/>
      <c r="D1" s="50"/>
      <c r="E1" s="50"/>
      <c r="F1" s="50"/>
      <c r="H1" s="50" t="s">
        <v>0</v>
      </c>
      <c r="I1" s="50"/>
      <c r="J1" s="50"/>
      <c r="K1" s="50"/>
      <c r="L1" s="50"/>
    </row>
    <row r="2" spans="2:12" ht="23.25" x14ac:dyDescent="0.35">
      <c r="B2" s="51" t="s">
        <v>1</v>
      </c>
      <c r="C2" s="51"/>
      <c r="D2" s="51"/>
      <c r="E2" s="51"/>
      <c r="F2" s="51"/>
      <c r="H2" s="51" t="s">
        <v>1</v>
      </c>
      <c r="I2" s="51"/>
      <c r="J2" s="51"/>
      <c r="K2" s="51"/>
      <c r="L2" s="51"/>
    </row>
    <row r="3" spans="2:12" x14ac:dyDescent="0.25">
      <c r="B3" s="62" t="s">
        <v>84</v>
      </c>
      <c r="C3" s="62"/>
      <c r="D3" s="62"/>
      <c r="E3" s="62"/>
      <c r="F3" s="62"/>
      <c r="H3" s="62" t="s">
        <v>84</v>
      </c>
      <c r="I3" s="62"/>
      <c r="J3" s="62"/>
      <c r="K3" s="62"/>
      <c r="L3" s="62"/>
    </row>
    <row r="4" spans="2:12" ht="15.75" x14ac:dyDescent="0.25">
      <c r="B4" s="52" t="s">
        <v>2</v>
      </c>
      <c r="C4" s="52"/>
      <c r="D4" s="52"/>
      <c r="E4" s="52"/>
      <c r="F4" s="52"/>
      <c r="H4" s="52" t="s">
        <v>2</v>
      </c>
      <c r="I4" s="52"/>
      <c r="J4" s="52"/>
      <c r="K4" s="52"/>
      <c r="L4" s="52"/>
    </row>
    <row r="5" spans="2:12" ht="5.0999999999999996" customHeight="1" thickBot="1" x14ac:dyDescent="0.3">
      <c r="C5" s="2"/>
      <c r="D5" s="2"/>
      <c r="E5" s="2"/>
      <c r="F5" s="2"/>
      <c r="H5" s="1"/>
      <c r="I5" s="2"/>
      <c r="J5" s="2"/>
      <c r="K5" s="2"/>
      <c r="L5" s="2"/>
    </row>
    <row r="6" spans="2:12" ht="15.75" x14ac:dyDescent="0.25">
      <c r="B6" s="53" t="s">
        <v>3</v>
      </c>
      <c r="C6" s="55" t="s">
        <v>4</v>
      </c>
      <c r="D6" s="57" t="s">
        <v>5</v>
      </c>
      <c r="E6" s="3" t="s">
        <v>6</v>
      </c>
      <c r="F6" s="59" t="s">
        <v>7</v>
      </c>
      <c r="H6" s="53" t="s">
        <v>3</v>
      </c>
      <c r="I6" s="55" t="s">
        <v>4</v>
      </c>
      <c r="J6" s="57" t="s">
        <v>5</v>
      </c>
      <c r="K6" s="29" t="s">
        <v>6</v>
      </c>
      <c r="L6" s="59" t="s">
        <v>7</v>
      </c>
    </row>
    <row r="7" spans="2:12" ht="16.5" thickBot="1" x14ac:dyDescent="0.3">
      <c r="B7" s="54"/>
      <c r="C7" s="56"/>
      <c r="D7" s="58"/>
      <c r="E7" s="4" t="s">
        <v>8</v>
      </c>
      <c r="F7" s="60"/>
      <c r="H7" s="54"/>
      <c r="I7" s="56"/>
      <c r="J7" s="58"/>
      <c r="K7" s="30" t="s">
        <v>144</v>
      </c>
      <c r="L7" s="60"/>
    </row>
    <row r="8" spans="2:12" ht="5.0999999999999996" customHeight="1" x14ac:dyDescent="0.25">
      <c r="B8" s="5"/>
      <c r="C8" s="6"/>
      <c r="D8" s="7"/>
      <c r="E8" s="7"/>
      <c r="F8" s="8"/>
      <c r="H8" s="5"/>
      <c r="I8" s="6"/>
      <c r="J8" s="7"/>
      <c r="K8" s="7"/>
      <c r="L8" s="8"/>
    </row>
    <row r="9" spans="2:12" ht="20.100000000000001" customHeight="1" x14ac:dyDescent="0.25">
      <c r="B9" s="9">
        <v>1</v>
      </c>
      <c r="C9" s="10">
        <v>10</v>
      </c>
      <c r="D9" s="11" t="s">
        <v>85</v>
      </c>
      <c r="E9" s="70">
        <v>39000</v>
      </c>
      <c r="F9" s="13">
        <f>E9*C9</f>
        <v>390000</v>
      </c>
      <c r="H9" s="9">
        <v>1</v>
      </c>
      <c r="I9" s="10">
        <v>10</v>
      </c>
      <c r="J9" s="11" t="s">
        <v>85</v>
      </c>
      <c r="K9" s="71">
        <v>70000</v>
      </c>
      <c r="L9" s="13">
        <f>K9*I9</f>
        <v>700000</v>
      </c>
    </row>
    <row r="10" spans="2:12" ht="20.100000000000001" customHeight="1" x14ac:dyDescent="0.25">
      <c r="B10" s="9">
        <f>B9+1</f>
        <v>2</v>
      </c>
      <c r="C10" s="10">
        <v>10</v>
      </c>
      <c r="D10" s="11" t="s">
        <v>86</v>
      </c>
      <c r="E10" s="70">
        <v>41000</v>
      </c>
      <c r="F10" s="13">
        <f>E10*C10</f>
        <v>410000</v>
      </c>
      <c r="H10" s="9">
        <f>H9+1</f>
        <v>2</v>
      </c>
      <c r="I10" s="10">
        <v>10</v>
      </c>
      <c r="J10" s="11" t="s">
        <v>86</v>
      </c>
      <c r="K10" s="71">
        <v>80000</v>
      </c>
      <c r="L10" s="13">
        <f>K10*I10</f>
        <v>800000</v>
      </c>
    </row>
    <row r="11" spans="2:12" ht="20.100000000000001" customHeight="1" x14ac:dyDescent="0.25">
      <c r="B11" s="9">
        <f t="shared" ref="B11:B36" si="0">B10+1</f>
        <v>3</v>
      </c>
      <c r="C11" s="10">
        <v>10</v>
      </c>
      <c r="D11" s="11" t="s">
        <v>87</v>
      </c>
      <c r="E11" s="70">
        <v>44000</v>
      </c>
      <c r="F11" s="13">
        <f>E11*C11</f>
        <v>440000</v>
      </c>
      <c r="H11" s="9">
        <f t="shared" ref="H11:H36" si="1">H10+1</f>
        <v>3</v>
      </c>
      <c r="I11" s="10">
        <v>10</v>
      </c>
      <c r="J11" s="11" t="s">
        <v>87</v>
      </c>
      <c r="K11" s="71">
        <v>90000</v>
      </c>
      <c r="L11" s="13">
        <f>K11*I11</f>
        <v>900000</v>
      </c>
    </row>
    <row r="12" spans="2:12" ht="20.100000000000001" customHeight="1" x14ac:dyDescent="0.25">
      <c r="B12" s="9">
        <f t="shared" si="0"/>
        <v>4</v>
      </c>
      <c r="C12" s="10">
        <v>10</v>
      </c>
      <c r="D12" s="11" t="s">
        <v>88</v>
      </c>
      <c r="E12" s="70">
        <v>32000</v>
      </c>
      <c r="F12" s="13">
        <f t="shared" ref="F12:F35" si="2">E12*C12</f>
        <v>320000</v>
      </c>
      <c r="H12" s="9">
        <f t="shared" si="1"/>
        <v>4</v>
      </c>
      <c r="I12" s="10">
        <v>10</v>
      </c>
      <c r="J12" s="11" t="s">
        <v>88</v>
      </c>
      <c r="K12" s="71">
        <v>52000</v>
      </c>
      <c r="L12" s="13">
        <f t="shared" ref="L12:L35" si="3">K12*I12</f>
        <v>520000</v>
      </c>
    </row>
    <row r="13" spans="2:12" ht="20.100000000000001" customHeight="1" x14ac:dyDescent="0.25">
      <c r="B13" s="9">
        <f t="shared" si="0"/>
        <v>5</v>
      </c>
      <c r="C13" s="10">
        <v>25</v>
      </c>
      <c r="D13" s="11" t="s">
        <v>90</v>
      </c>
      <c r="E13" s="70">
        <v>4200</v>
      </c>
      <c r="F13" s="13">
        <f t="shared" si="2"/>
        <v>105000</v>
      </c>
      <c r="H13" s="9">
        <f t="shared" si="1"/>
        <v>5</v>
      </c>
      <c r="I13" s="10">
        <v>25</v>
      </c>
      <c r="J13" s="11" t="s">
        <v>90</v>
      </c>
      <c r="K13" s="71">
        <v>8000</v>
      </c>
      <c r="L13" s="13">
        <f t="shared" si="3"/>
        <v>200000</v>
      </c>
    </row>
    <row r="14" spans="2:12" ht="20.100000000000001" customHeight="1" x14ac:dyDescent="0.25">
      <c r="B14" s="9">
        <f t="shared" si="0"/>
        <v>6</v>
      </c>
      <c r="C14" s="10">
        <v>25</v>
      </c>
      <c r="D14" s="11" t="s">
        <v>89</v>
      </c>
      <c r="E14" s="70">
        <v>4600</v>
      </c>
      <c r="F14" s="13">
        <f>E14*C14</f>
        <v>115000</v>
      </c>
      <c r="H14" s="9">
        <f t="shared" si="1"/>
        <v>6</v>
      </c>
      <c r="I14" s="10">
        <v>25</v>
      </c>
      <c r="J14" s="11" t="s">
        <v>89</v>
      </c>
      <c r="K14" s="71">
        <v>10000</v>
      </c>
      <c r="L14" s="13">
        <f>K14*I14</f>
        <v>250000</v>
      </c>
    </row>
    <row r="15" spans="2:12" ht="20.100000000000001" customHeight="1" x14ac:dyDescent="0.25">
      <c r="B15" s="9">
        <f t="shared" si="0"/>
        <v>7</v>
      </c>
      <c r="C15" s="10">
        <v>4</v>
      </c>
      <c r="D15" s="11" t="s">
        <v>91</v>
      </c>
      <c r="E15" s="70">
        <v>32000</v>
      </c>
      <c r="F15" s="13">
        <f>E15*C15</f>
        <v>128000</v>
      </c>
      <c r="H15" s="9">
        <f t="shared" si="1"/>
        <v>7</v>
      </c>
      <c r="I15" s="10">
        <v>4</v>
      </c>
      <c r="J15" s="11" t="s">
        <v>91</v>
      </c>
      <c r="K15" s="71">
        <v>60000</v>
      </c>
      <c r="L15" s="13">
        <f>K15*I15</f>
        <v>240000</v>
      </c>
    </row>
    <row r="16" spans="2:12" ht="20.100000000000001" customHeight="1" x14ac:dyDescent="0.25">
      <c r="B16" s="9">
        <f t="shared" si="0"/>
        <v>8</v>
      </c>
      <c r="C16" s="10">
        <v>4</v>
      </c>
      <c r="D16" s="11" t="s">
        <v>91</v>
      </c>
      <c r="E16" s="70">
        <v>36000</v>
      </c>
      <c r="F16" s="13">
        <f>E16*C16</f>
        <v>144000</v>
      </c>
      <c r="H16" s="9">
        <f t="shared" si="1"/>
        <v>8</v>
      </c>
      <c r="I16" s="10">
        <v>4</v>
      </c>
      <c r="J16" s="11" t="s">
        <v>91</v>
      </c>
      <c r="K16" s="71">
        <v>65000</v>
      </c>
      <c r="L16" s="13">
        <f>K16*I16</f>
        <v>260000</v>
      </c>
    </row>
    <row r="17" spans="2:12" ht="20.100000000000001" customHeight="1" x14ac:dyDescent="0.25">
      <c r="B17" s="9">
        <f t="shared" si="0"/>
        <v>9</v>
      </c>
      <c r="C17" s="10">
        <v>80</v>
      </c>
      <c r="D17" s="11" t="s">
        <v>92</v>
      </c>
      <c r="E17" s="70">
        <v>3000</v>
      </c>
      <c r="F17" s="13">
        <f>E17*C17</f>
        <v>240000</v>
      </c>
      <c r="H17" s="9">
        <f t="shared" si="1"/>
        <v>9</v>
      </c>
      <c r="I17" s="10">
        <v>80</v>
      </c>
      <c r="J17" s="11" t="s">
        <v>92</v>
      </c>
      <c r="K17" s="71">
        <v>10000</v>
      </c>
      <c r="L17" s="13">
        <f>K17*I17</f>
        <v>800000</v>
      </c>
    </row>
    <row r="18" spans="2:12" ht="20.100000000000001" customHeight="1" x14ac:dyDescent="0.25">
      <c r="B18" s="9">
        <f t="shared" si="0"/>
        <v>10</v>
      </c>
      <c r="C18" s="10">
        <v>180</v>
      </c>
      <c r="D18" s="11" t="s">
        <v>93</v>
      </c>
      <c r="E18" s="70">
        <v>2500</v>
      </c>
      <c r="F18" s="13">
        <f t="shared" si="2"/>
        <v>450000</v>
      </c>
      <c r="H18" s="9">
        <f t="shared" si="1"/>
        <v>10</v>
      </c>
      <c r="I18" s="10">
        <v>180</v>
      </c>
      <c r="J18" s="11" t="s">
        <v>93</v>
      </c>
      <c r="K18" s="71">
        <v>8000</v>
      </c>
      <c r="L18" s="13">
        <f t="shared" ref="L18:L38" si="4">K18*I18</f>
        <v>1440000</v>
      </c>
    </row>
    <row r="19" spans="2:12" ht="20.100000000000001" customHeight="1" x14ac:dyDescent="0.25">
      <c r="B19" s="9">
        <f t="shared" si="0"/>
        <v>11</v>
      </c>
      <c r="C19" s="10">
        <v>2</v>
      </c>
      <c r="D19" s="11" t="s">
        <v>94</v>
      </c>
      <c r="E19" s="70">
        <v>115000</v>
      </c>
      <c r="F19" s="13">
        <f t="shared" si="2"/>
        <v>230000</v>
      </c>
      <c r="H19" s="9">
        <f t="shared" si="1"/>
        <v>11</v>
      </c>
      <c r="I19" s="10">
        <v>2</v>
      </c>
      <c r="J19" s="11" t="s">
        <v>94</v>
      </c>
      <c r="K19" s="71">
        <v>215000</v>
      </c>
      <c r="L19" s="13">
        <f t="shared" si="4"/>
        <v>430000</v>
      </c>
    </row>
    <row r="20" spans="2:12" ht="20.100000000000001" customHeight="1" x14ac:dyDescent="0.25">
      <c r="B20" s="9">
        <f t="shared" si="0"/>
        <v>12</v>
      </c>
      <c r="C20" s="10">
        <v>2</v>
      </c>
      <c r="D20" s="11" t="s">
        <v>95</v>
      </c>
      <c r="E20" s="70">
        <v>112000</v>
      </c>
      <c r="F20" s="13">
        <f t="shared" si="2"/>
        <v>224000</v>
      </c>
      <c r="H20" s="9">
        <f t="shared" si="1"/>
        <v>12</v>
      </c>
      <c r="I20" s="10">
        <v>2</v>
      </c>
      <c r="J20" s="11" t="s">
        <v>95</v>
      </c>
      <c r="K20" s="71">
        <v>210000</v>
      </c>
      <c r="L20" s="13">
        <f t="shared" si="4"/>
        <v>420000</v>
      </c>
    </row>
    <row r="21" spans="2:12" ht="20.100000000000001" customHeight="1" x14ac:dyDescent="0.25">
      <c r="B21" s="9">
        <f t="shared" si="0"/>
        <v>13</v>
      </c>
      <c r="C21" s="10">
        <v>2</v>
      </c>
      <c r="D21" s="11" t="s">
        <v>96</v>
      </c>
      <c r="E21" s="70">
        <v>112000</v>
      </c>
      <c r="F21" s="13">
        <f t="shared" si="2"/>
        <v>224000</v>
      </c>
      <c r="H21" s="9">
        <f t="shared" si="1"/>
        <v>13</v>
      </c>
      <c r="I21" s="10">
        <v>2</v>
      </c>
      <c r="J21" s="11" t="s">
        <v>96</v>
      </c>
      <c r="K21" s="71">
        <v>210000</v>
      </c>
      <c r="L21" s="13">
        <f t="shared" si="4"/>
        <v>420000</v>
      </c>
    </row>
    <row r="22" spans="2:12" ht="20.100000000000001" customHeight="1" x14ac:dyDescent="0.25">
      <c r="B22" s="9">
        <f t="shared" si="0"/>
        <v>14</v>
      </c>
      <c r="C22" s="10">
        <v>2</v>
      </c>
      <c r="D22" s="11" t="s">
        <v>97</v>
      </c>
      <c r="E22" s="70">
        <v>117000</v>
      </c>
      <c r="F22" s="13">
        <f t="shared" si="2"/>
        <v>234000</v>
      </c>
      <c r="H22" s="9">
        <f t="shared" si="1"/>
        <v>14</v>
      </c>
      <c r="I22" s="10">
        <v>2</v>
      </c>
      <c r="J22" s="11" t="s">
        <v>97</v>
      </c>
      <c r="K22" s="71">
        <v>225000</v>
      </c>
      <c r="L22" s="13">
        <f t="shared" si="4"/>
        <v>450000</v>
      </c>
    </row>
    <row r="23" spans="2:12" ht="20.100000000000001" customHeight="1" x14ac:dyDescent="0.25">
      <c r="B23" s="9">
        <f t="shared" si="0"/>
        <v>15</v>
      </c>
      <c r="C23" s="10">
        <v>2</v>
      </c>
      <c r="D23" s="11" t="s">
        <v>98</v>
      </c>
      <c r="E23" s="70">
        <v>123000</v>
      </c>
      <c r="F23" s="13">
        <f t="shared" si="2"/>
        <v>246000</v>
      </c>
      <c r="H23" s="9">
        <f t="shared" si="1"/>
        <v>15</v>
      </c>
      <c r="I23" s="10">
        <v>2</v>
      </c>
      <c r="J23" s="11" t="s">
        <v>98</v>
      </c>
      <c r="K23" s="71">
        <v>250000</v>
      </c>
      <c r="L23" s="13">
        <f t="shared" si="4"/>
        <v>500000</v>
      </c>
    </row>
    <row r="24" spans="2:12" ht="20.100000000000001" customHeight="1" x14ac:dyDescent="0.25">
      <c r="B24" s="9">
        <f t="shared" si="0"/>
        <v>16</v>
      </c>
      <c r="C24" s="10">
        <v>2</v>
      </c>
      <c r="D24" s="11" t="s">
        <v>99</v>
      </c>
      <c r="E24" s="70">
        <v>174000</v>
      </c>
      <c r="F24" s="13">
        <f t="shared" si="2"/>
        <v>348000</v>
      </c>
      <c r="H24" s="9">
        <f t="shared" si="1"/>
        <v>16</v>
      </c>
      <c r="I24" s="10">
        <v>2</v>
      </c>
      <c r="J24" s="11" t="s">
        <v>99</v>
      </c>
      <c r="K24" s="71">
        <v>350000</v>
      </c>
      <c r="L24" s="13">
        <f t="shared" si="4"/>
        <v>700000</v>
      </c>
    </row>
    <row r="25" spans="2:12" ht="20.100000000000001" customHeight="1" x14ac:dyDescent="0.25">
      <c r="B25" s="9">
        <f t="shared" si="0"/>
        <v>17</v>
      </c>
      <c r="C25" s="10">
        <v>5</v>
      </c>
      <c r="D25" s="11" t="s">
        <v>100</v>
      </c>
      <c r="E25" s="70">
        <v>84000</v>
      </c>
      <c r="F25" s="13">
        <f t="shared" si="2"/>
        <v>420000</v>
      </c>
      <c r="H25" s="9">
        <f t="shared" si="1"/>
        <v>17</v>
      </c>
      <c r="I25" s="10">
        <v>5</v>
      </c>
      <c r="J25" s="11" t="s">
        <v>100</v>
      </c>
      <c r="K25" s="71">
        <v>185000</v>
      </c>
      <c r="L25" s="13">
        <f t="shared" si="4"/>
        <v>925000</v>
      </c>
    </row>
    <row r="26" spans="2:12" ht="20.100000000000001" customHeight="1" x14ac:dyDescent="0.25">
      <c r="B26" s="9">
        <f t="shared" si="0"/>
        <v>18</v>
      </c>
      <c r="C26" s="10">
        <v>2</v>
      </c>
      <c r="D26" s="11" t="s">
        <v>101</v>
      </c>
      <c r="E26" s="70">
        <v>113000</v>
      </c>
      <c r="F26" s="13">
        <f t="shared" si="2"/>
        <v>226000</v>
      </c>
      <c r="H26" s="9">
        <f t="shared" si="1"/>
        <v>18</v>
      </c>
      <c r="I26" s="10">
        <v>2</v>
      </c>
      <c r="J26" s="11" t="s">
        <v>101</v>
      </c>
      <c r="K26" s="71">
        <v>210000</v>
      </c>
      <c r="L26" s="13">
        <f t="shared" si="4"/>
        <v>420000</v>
      </c>
    </row>
    <row r="27" spans="2:12" ht="20.100000000000001" customHeight="1" x14ac:dyDescent="0.25">
      <c r="B27" s="9">
        <f t="shared" si="0"/>
        <v>19</v>
      </c>
      <c r="C27" s="10">
        <v>2</v>
      </c>
      <c r="D27" s="11" t="s">
        <v>102</v>
      </c>
      <c r="E27" s="70">
        <v>138000</v>
      </c>
      <c r="F27" s="13">
        <f t="shared" si="2"/>
        <v>276000</v>
      </c>
      <c r="H27" s="9">
        <f t="shared" si="1"/>
        <v>19</v>
      </c>
      <c r="I27" s="10">
        <v>2</v>
      </c>
      <c r="J27" s="11" t="s">
        <v>102</v>
      </c>
      <c r="K27" s="71">
        <v>240000</v>
      </c>
      <c r="L27" s="13">
        <f t="shared" si="4"/>
        <v>480000</v>
      </c>
    </row>
    <row r="28" spans="2:12" ht="20.100000000000001" customHeight="1" x14ac:dyDescent="0.25">
      <c r="B28" s="9">
        <f t="shared" si="0"/>
        <v>20</v>
      </c>
      <c r="C28" s="10">
        <v>2</v>
      </c>
      <c r="D28" s="11" t="s">
        <v>103</v>
      </c>
      <c r="E28" s="70">
        <v>150000</v>
      </c>
      <c r="F28" s="13">
        <f t="shared" si="2"/>
        <v>300000</v>
      </c>
      <c r="H28" s="9">
        <f t="shared" si="1"/>
        <v>20</v>
      </c>
      <c r="I28" s="10">
        <v>2</v>
      </c>
      <c r="J28" s="11" t="s">
        <v>103</v>
      </c>
      <c r="K28" s="71">
        <v>150000</v>
      </c>
      <c r="L28" s="13">
        <f t="shared" si="4"/>
        <v>300000</v>
      </c>
    </row>
    <row r="29" spans="2:12" ht="20.100000000000001" customHeight="1" x14ac:dyDescent="0.25">
      <c r="B29" s="9">
        <f t="shared" si="0"/>
        <v>21</v>
      </c>
      <c r="C29" s="10">
        <v>2</v>
      </c>
      <c r="D29" s="11" t="s">
        <v>104</v>
      </c>
      <c r="E29" s="70">
        <v>168000</v>
      </c>
      <c r="F29" s="13">
        <f t="shared" si="2"/>
        <v>336000</v>
      </c>
      <c r="H29" s="9">
        <f t="shared" si="1"/>
        <v>21</v>
      </c>
      <c r="I29" s="10">
        <v>2</v>
      </c>
      <c r="J29" s="11" t="s">
        <v>104</v>
      </c>
      <c r="K29" s="71">
        <v>270000</v>
      </c>
      <c r="L29" s="13">
        <f t="shared" si="4"/>
        <v>540000</v>
      </c>
    </row>
    <row r="30" spans="2:12" ht="20.100000000000001" customHeight="1" x14ac:dyDescent="0.25">
      <c r="B30" s="9">
        <f t="shared" si="0"/>
        <v>22</v>
      </c>
      <c r="C30" s="10">
        <v>2</v>
      </c>
      <c r="D30" s="11" t="s">
        <v>105</v>
      </c>
      <c r="E30" s="70">
        <v>233000</v>
      </c>
      <c r="F30" s="13">
        <f t="shared" si="2"/>
        <v>466000</v>
      </c>
      <c r="H30" s="9">
        <f t="shared" si="1"/>
        <v>22</v>
      </c>
      <c r="I30" s="10">
        <v>2</v>
      </c>
      <c r="J30" s="11" t="s">
        <v>105</v>
      </c>
      <c r="K30" s="71">
        <v>360000</v>
      </c>
      <c r="L30" s="13">
        <f t="shared" si="4"/>
        <v>720000</v>
      </c>
    </row>
    <row r="31" spans="2:12" ht="20.100000000000001" customHeight="1" x14ac:dyDescent="0.25">
      <c r="B31" s="9">
        <f t="shared" si="0"/>
        <v>23</v>
      </c>
      <c r="C31" s="10">
        <v>2</v>
      </c>
      <c r="D31" s="11" t="s">
        <v>106</v>
      </c>
      <c r="E31" s="70">
        <v>164000</v>
      </c>
      <c r="F31" s="13">
        <f t="shared" si="2"/>
        <v>328000</v>
      </c>
      <c r="H31" s="9">
        <f t="shared" si="1"/>
        <v>23</v>
      </c>
      <c r="I31" s="10">
        <v>2</v>
      </c>
      <c r="J31" s="11" t="s">
        <v>106</v>
      </c>
      <c r="K31" s="71">
        <v>265000</v>
      </c>
      <c r="L31" s="13">
        <f t="shared" si="4"/>
        <v>530000</v>
      </c>
    </row>
    <row r="32" spans="2:12" ht="20.100000000000001" customHeight="1" x14ac:dyDescent="0.25">
      <c r="B32" s="9">
        <f t="shared" si="0"/>
        <v>24</v>
      </c>
      <c r="C32" s="10">
        <v>2</v>
      </c>
      <c r="D32" s="11" t="s">
        <v>107</v>
      </c>
      <c r="E32" s="70">
        <v>282000</v>
      </c>
      <c r="F32" s="13">
        <f t="shared" si="2"/>
        <v>564000</v>
      </c>
      <c r="H32" s="9">
        <f t="shared" si="1"/>
        <v>24</v>
      </c>
      <c r="I32" s="10">
        <v>2</v>
      </c>
      <c r="J32" s="11" t="s">
        <v>107</v>
      </c>
      <c r="K32" s="71">
        <v>380000</v>
      </c>
      <c r="L32" s="13">
        <f t="shared" si="4"/>
        <v>760000</v>
      </c>
    </row>
    <row r="33" spans="2:12" ht="20.100000000000001" customHeight="1" x14ac:dyDescent="0.25">
      <c r="B33" s="9">
        <f t="shared" si="0"/>
        <v>25</v>
      </c>
      <c r="C33" s="10">
        <v>5</v>
      </c>
      <c r="D33" s="11" t="s">
        <v>108</v>
      </c>
      <c r="E33" s="70">
        <v>40000</v>
      </c>
      <c r="F33" s="13">
        <f t="shared" si="2"/>
        <v>200000</v>
      </c>
      <c r="H33" s="9">
        <f t="shared" si="1"/>
        <v>25</v>
      </c>
      <c r="I33" s="10">
        <v>5</v>
      </c>
      <c r="J33" s="11" t="s">
        <v>108</v>
      </c>
      <c r="K33" s="71">
        <v>60000</v>
      </c>
      <c r="L33" s="13">
        <f t="shared" si="4"/>
        <v>300000</v>
      </c>
    </row>
    <row r="34" spans="2:12" ht="20.100000000000001" customHeight="1" x14ac:dyDescent="0.25">
      <c r="B34" s="9">
        <f t="shared" si="0"/>
        <v>26</v>
      </c>
      <c r="C34" s="10">
        <v>1</v>
      </c>
      <c r="D34" s="11" t="s">
        <v>109</v>
      </c>
      <c r="E34" s="70">
        <v>90000</v>
      </c>
      <c r="F34" s="13">
        <f t="shared" si="2"/>
        <v>90000</v>
      </c>
      <c r="H34" s="9">
        <f t="shared" si="1"/>
        <v>26</v>
      </c>
      <c r="I34" s="10">
        <v>1</v>
      </c>
      <c r="J34" s="11" t="s">
        <v>109</v>
      </c>
      <c r="K34" s="71">
        <v>180000</v>
      </c>
      <c r="L34" s="13">
        <f t="shared" si="4"/>
        <v>180000</v>
      </c>
    </row>
    <row r="35" spans="2:12" ht="20.100000000000001" customHeight="1" x14ac:dyDescent="0.25">
      <c r="B35" s="9">
        <f t="shared" si="0"/>
        <v>27</v>
      </c>
      <c r="C35" s="10">
        <v>2</v>
      </c>
      <c r="D35" s="11" t="s">
        <v>110</v>
      </c>
      <c r="E35" s="70">
        <v>95000</v>
      </c>
      <c r="F35" s="13">
        <f t="shared" si="2"/>
        <v>190000</v>
      </c>
      <c r="H35" s="9">
        <f t="shared" si="1"/>
        <v>27</v>
      </c>
      <c r="I35" s="10">
        <v>2</v>
      </c>
      <c r="J35" s="11" t="s">
        <v>110</v>
      </c>
      <c r="K35" s="71">
        <v>210000</v>
      </c>
      <c r="L35" s="13">
        <f t="shared" si="4"/>
        <v>420000</v>
      </c>
    </row>
    <row r="36" spans="2:12" ht="20.100000000000001" customHeight="1" x14ac:dyDescent="0.25">
      <c r="B36" s="9">
        <f t="shared" si="0"/>
        <v>28</v>
      </c>
      <c r="C36" s="19"/>
      <c r="D36" s="20"/>
      <c r="E36" s="72"/>
      <c r="F36" s="22">
        <f>E36*C36</f>
        <v>0</v>
      </c>
      <c r="H36" s="9">
        <f t="shared" si="1"/>
        <v>28</v>
      </c>
      <c r="I36" s="19"/>
      <c r="J36" s="20"/>
      <c r="K36" s="73"/>
      <c r="L36" s="22">
        <f>K36*I36</f>
        <v>0</v>
      </c>
    </row>
    <row r="37" spans="2:12" ht="30" customHeight="1" x14ac:dyDescent="0.3">
      <c r="B37" s="47" t="s">
        <v>51</v>
      </c>
      <c r="C37" s="48"/>
      <c r="D37" s="49"/>
      <c r="E37" s="23"/>
      <c r="F37" s="24">
        <f>SUM(F9:F36)</f>
        <v>7644000</v>
      </c>
      <c r="H37" s="47" t="s">
        <v>51</v>
      </c>
      <c r="I37" s="48"/>
      <c r="J37" s="49"/>
      <c r="K37" s="23"/>
      <c r="L37" s="24">
        <f>SUM(L9:L36)</f>
        <v>14605000</v>
      </c>
    </row>
    <row r="38" spans="2:12" x14ac:dyDescent="0.25">
      <c r="H38" s="1"/>
    </row>
  </sheetData>
  <mergeCells count="18">
    <mergeCell ref="H37:J37"/>
    <mergeCell ref="H1:L1"/>
    <mergeCell ref="H2:L2"/>
    <mergeCell ref="H3:L3"/>
    <mergeCell ref="H4:L4"/>
    <mergeCell ref="H6:H7"/>
    <mergeCell ref="I6:I7"/>
    <mergeCell ref="J6:J7"/>
    <mergeCell ref="L6:L7"/>
    <mergeCell ref="B37:D37"/>
    <mergeCell ref="B1:F1"/>
    <mergeCell ref="B2:F2"/>
    <mergeCell ref="B3:F3"/>
    <mergeCell ref="B4:F4"/>
    <mergeCell ref="B6:B7"/>
    <mergeCell ref="C6:C7"/>
    <mergeCell ref="D6:D7"/>
    <mergeCell ref="F6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workbookViewId="0">
      <selection activeCell="J12" sqref="J12"/>
    </sheetView>
  </sheetViews>
  <sheetFormatPr defaultRowHeight="15" x14ac:dyDescent="0.25"/>
  <cols>
    <col min="1" max="1" width="2.7109375" customWidth="1"/>
    <col min="2" max="2" width="4.7109375" style="1" customWidth="1"/>
    <col min="3" max="3" width="5.7109375" customWidth="1"/>
    <col min="4" max="4" width="29.7109375" customWidth="1"/>
    <col min="5" max="5" width="10.7109375" customWidth="1"/>
    <col min="6" max="6" width="16.85546875" customWidth="1"/>
    <col min="8" max="8" width="4.7109375" customWidth="1"/>
    <col min="9" max="9" width="5.7109375" customWidth="1"/>
    <col min="10" max="10" width="29.7109375" customWidth="1"/>
    <col min="11" max="11" width="10.7109375" customWidth="1"/>
    <col min="12" max="12" width="15.7109375" customWidth="1"/>
  </cols>
  <sheetData>
    <row r="1" spans="2:12" ht="20.25" x14ac:dyDescent="0.3">
      <c r="B1" s="50" t="s">
        <v>0</v>
      </c>
      <c r="C1" s="50"/>
      <c r="D1" s="50"/>
      <c r="E1" s="50"/>
      <c r="F1" s="50"/>
      <c r="H1" s="50" t="s">
        <v>0</v>
      </c>
      <c r="I1" s="50"/>
      <c r="J1" s="50"/>
      <c r="K1" s="50"/>
      <c r="L1" s="50"/>
    </row>
    <row r="2" spans="2:12" ht="23.25" x14ac:dyDescent="0.35">
      <c r="B2" s="51" t="s">
        <v>1</v>
      </c>
      <c r="C2" s="51"/>
      <c r="D2" s="51"/>
      <c r="E2" s="51"/>
      <c r="F2" s="51"/>
      <c r="H2" s="51" t="s">
        <v>1</v>
      </c>
      <c r="I2" s="51"/>
      <c r="J2" s="51"/>
      <c r="K2" s="51"/>
      <c r="L2" s="51"/>
    </row>
    <row r="3" spans="2:12" x14ac:dyDescent="0.25">
      <c r="B3" s="62" t="s">
        <v>112</v>
      </c>
      <c r="C3" s="62"/>
      <c r="D3" s="62"/>
      <c r="E3" s="62"/>
      <c r="F3" s="62"/>
      <c r="H3" s="62" t="s">
        <v>112</v>
      </c>
      <c r="I3" s="62"/>
      <c r="J3" s="62"/>
      <c r="K3" s="62"/>
      <c r="L3" s="62"/>
    </row>
    <row r="4" spans="2:12" ht="15.75" x14ac:dyDescent="0.25">
      <c r="B4" s="52" t="s">
        <v>2</v>
      </c>
      <c r="C4" s="52"/>
      <c r="D4" s="52"/>
      <c r="E4" s="52"/>
      <c r="F4" s="52"/>
      <c r="H4" s="52" t="s">
        <v>2</v>
      </c>
      <c r="I4" s="52"/>
      <c r="J4" s="52"/>
      <c r="K4" s="52"/>
      <c r="L4" s="52"/>
    </row>
    <row r="5" spans="2:12" ht="5.0999999999999996" customHeight="1" thickBot="1" x14ac:dyDescent="0.3">
      <c r="C5" s="2"/>
      <c r="D5" s="2"/>
      <c r="E5" s="2"/>
      <c r="F5" s="2"/>
      <c r="H5" s="1"/>
      <c r="I5" s="2"/>
      <c r="J5" s="2"/>
      <c r="K5" s="2"/>
      <c r="L5" s="2"/>
    </row>
    <row r="6" spans="2:12" ht="15.75" x14ac:dyDescent="0.25">
      <c r="B6" s="53" t="s">
        <v>3</v>
      </c>
      <c r="C6" s="55" t="s">
        <v>4</v>
      </c>
      <c r="D6" s="57" t="s">
        <v>5</v>
      </c>
      <c r="E6" s="25" t="s">
        <v>6</v>
      </c>
      <c r="F6" s="59" t="s">
        <v>7</v>
      </c>
      <c r="H6" s="53" t="s">
        <v>3</v>
      </c>
      <c r="I6" s="55" t="s">
        <v>4</v>
      </c>
      <c r="J6" s="57" t="s">
        <v>5</v>
      </c>
      <c r="K6" s="29" t="s">
        <v>6</v>
      </c>
      <c r="L6" s="59" t="s">
        <v>7</v>
      </c>
    </row>
    <row r="7" spans="2:12" ht="16.5" thickBot="1" x14ac:dyDescent="0.3">
      <c r="B7" s="54"/>
      <c r="C7" s="56"/>
      <c r="D7" s="58"/>
      <c r="E7" s="26" t="s">
        <v>8</v>
      </c>
      <c r="F7" s="60"/>
      <c r="H7" s="54"/>
      <c r="I7" s="56"/>
      <c r="J7" s="58"/>
      <c r="K7" s="30" t="s">
        <v>144</v>
      </c>
      <c r="L7" s="60"/>
    </row>
    <row r="8" spans="2:12" ht="5.0999999999999996" customHeight="1" x14ac:dyDescent="0.25">
      <c r="B8" s="5"/>
      <c r="C8" s="6"/>
      <c r="D8" s="7"/>
      <c r="E8" s="7"/>
      <c r="F8" s="8"/>
      <c r="H8" s="5"/>
      <c r="I8" s="6"/>
      <c r="J8" s="7"/>
      <c r="K8" s="7"/>
      <c r="L8" s="8"/>
    </row>
    <row r="9" spans="2:12" ht="20.100000000000001" customHeight="1" x14ac:dyDescent="0.25">
      <c r="B9" s="9">
        <v>1</v>
      </c>
      <c r="C9" s="10">
        <v>2</v>
      </c>
      <c r="D9" s="11" t="s">
        <v>113</v>
      </c>
      <c r="E9" s="70">
        <v>192000</v>
      </c>
      <c r="F9" s="13">
        <f>E9*C9</f>
        <v>384000</v>
      </c>
      <c r="H9" s="9">
        <v>1</v>
      </c>
      <c r="I9" s="10">
        <v>2</v>
      </c>
      <c r="J9" s="11" t="s">
        <v>113</v>
      </c>
      <c r="K9" s="71">
        <v>350000</v>
      </c>
      <c r="L9" s="13">
        <f>K9*I9</f>
        <v>700000</v>
      </c>
    </row>
    <row r="10" spans="2:12" ht="20.100000000000001" customHeight="1" x14ac:dyDescent="0.25">
      <c r="B10" s="9">
        <f>B9+1</f>
        <v>2</v>
      </c>
      <c r="C10" s="10">
        <v>2</v>
      </c>
      <c r="D10" s="11" t="s">
        <v>114</v>
      </c>
      <c r="E10" s="70">
        <v>178000</v>
      </c>
      <c r="F10" s="13">
        <f>E10*C10</f>
        <v>356000</v>
      </c>
      <c r="H10" s="9">
        <f>H9+1</f>
        <v>2</v>
      </c>
      <c r="I10" s="10">
        <v>2</v>
      </c>
      <c r="J10" s="11" t="s">
        <v>114</v>
      </c>
      <c r="K10" s="71">
        <v>300000</v>
      </c>
      <c r="L10" s="13">
        <f>K10*I10</f>
        <v>600000</v>
      </c>
    </row>
    <row r="11" spans="2:12" ht="20.100000000000001" customHeight="1" x14ac:dyDescent="0.25">
      <c r="B11" s="9">
        <f t="shared" ref="B11:B40" si="0">B10+1</f>
        <v>3</v>
      </c>
      <c r="C11" s="10">
        <v>2</v>
      </c>
      <c r="D11" s="11" t="s">
        <v>115</v>
      </c>
      <c r="E11" s="70">
        <v>120000</v>
      </c>
      <c r="F11" s="13">
        <f>E11*C11</f>
        <v>240000</v>
      </c>
      <c r="H11" s="9">
        <f t="shared" ref="H11:H40" si="1">H10+1</f>
        <v>3</v>
      </c>
      <c r="I11" s="10">
        <v>2</v>
      </c>
      <c r="J11" s="11" t="s">
        <v>115</v>
      </c>
      <c r="K11" s="71">
        <v>270000</v>
      </c>
      <c r="L11" s="13">
        <f>K11*I11</f>
        <v>540000</v>
      </c>
    </row>
    <row r="12" spans="2:12" ht="20.100000000000001" customHeight="1" x14ac:dyDescent="0.25">
      <c r="B12" s="9">
        <f t="shared" si="0"/>
        <v>4</v>
      </c>
      <c r="C12" s="10">
        <v>2</v>
      </c>
      <c r="D12" s="11" t="s">
        <v>116</v>
      </c>
      <c r="E12" s="70">
        <v>136000</v>
      </c>
      <c r="F12" s="13">
        <f t="shared" ref="F12:F39" si="2">E12*C12</f>
        <v>272000</v>
      </c>
      <c r="H12" s="9">
        <f t="shared" si="1"/>
        <v>4</v>
      </c>
      <c r="I12" s="10">
        <v>2</v>
      </c>
      <c r="J12" s="11" t="s">
        <v>116</v>
      </c>
      <c r="K12" s="71">
        <v>170000</v>
      </c>
      <c r="L12" s="13">
        <f t="shared" ref="L12:L39" si="3">K12*I12</f>
        <v>340000</v>
      </c>
    </row>
    <row r="13" spans="2:12" ht="20.100000000000001" customHeight="1" x14ac:dyDescent="0.25">
      <c r="B13" s="9">
        <f t="shared" si="0"/>
        <v>5</v>
      </c>
      <c r="C13" s="10">
        <v>2</v>
      </c>
      <c r="D13" s="11" t="s">
        <v>117</v>
      </c>
      <c r="E13" s="70">
        <v>128000</v>
      </c>
      <c r="F13" s="13">
        <f t="shared" si="2"/>
        <v>256000</v>
      </c>
      <c r="H13" s="9">
        <f t="shared" si="1"/>
        <v>5</v>
      </c>
      <c r="I13" s="10">
        <v>2</v>
      </c>
      <c r="J13" s="11" t="s">
        <v>117</v>
      </c>
      <c r="K13" s="71">
        <v>160000</v>
      </c>
      <c r="L13" s="13">
        <f t="shared" si="3"/>
        <v>320000</v>
      </c>
    </row>
    <row r="14" spans="2:12" ht="20.100000000000001" customHeight="1" x14ac:dyDescent="0.25">
      <c r="B14" s="9">
        <f t="shared" si="0"/>
        <v>6</v>
      </c>
      <c r="C14" s="10">
        <v>2</v>
      </c>
      <c r="D14" s="11" t="s">
        <v>118</v>
      </c>
      <c r="E14" s="70">
        <v>264000</v>
      </c>
      <c r="F14" s="13">
        <f>E14*C14</f>
        <v>528000</v>
      </c>
      <c r="H14" s="9">
        <f t="shared" si="1"/>
        <v>6</v>
      </c>
      <c r="I14" s="10">
        <v>2</v>
      </c>
      <c r="J14" s="11" t="s">
        <v>118</v>
      </c>
      <c r="K14" s="71">
        <v>364000</v>
      </c>
      <c r="L14" s="13">
        <f>K14*I14</f>
        <v>728000</v>
      </c>
    </row>
    <row r="15" spans="2:12" ht="20.100000000000001" customHeight="1" x14ac:dyDescent="0.25">
      <c r="B15" s="9">
        <f t="shared" si="0"/>
        <v>7</v>
      </c>
      <c r="C15" s="10">
        <v>2</v>
      </c>
      <c r="D15" s="11" t="s">
        <v>119</v>
      </c>
      <c r="E15" s="70">
        <v>255000</v>
      </c>
      <c r="F15" s="13">
        <f>E15*C15</f>
        <v>510000</v>
      </c>
      <c r="H15" s="9">
        <f t="shared" si="1"/>
        <v>7</v>
      </c>
      <c r="I15" s="10">
        <v>2</v>
      </c>
      <c r="J15" s="11" t="s">
        <v>119</v>
      </c>
      <c r="K15" s="71">
        <v>355000</v>
      </c>
      <c r="L15" s="13">
        <f>K15*I15</f>
        <v>710000</v>
      </c>
    </row>
    <row r="16" spans="2:12" ht="20.100000000000001" customHeight="1" x14ac:dyDescent="0.25">
      <c r="B16" s="9">
        <f t="shared" si="0"/>
        <v>8</v>
      </c>
      <c r="C16" s="10">
        <v>4</v>
      </c>
      <c r="D16" s="11" t="s">
        <v>120</v>
      </c>
      <c r="E16" s="70">
        <v>168000</v>
      </c>
      <c r="F16" s="13">
        <f>E16*C16</f>
        <v>672000</v>
      </c>
      <c r="H16" s="9">
        <f t="shared" si="1"/>
        <v>8</v>
      </c>
      <c r="I16" s="10">
        <v>4</v>
      </c>
      <c r="J16" s="11" t="s">
        <v>120</v>
      </c>
      <c r="K16" s="71">
        <v>250000</v>
      </c>
      <c r="L16" s="13">
        <f>K16*I16</f>
        <v>1000000</v>
      </c>
    </row>
    <row r="17" spans="2:12" ht="20.100000000000001" customHeight="1" x14ac:dyDescent="0.25">
      <c r="B17" s="9">
        <f t="shared" si="0"/>
        <v>9</v>
      </c>
      <c r="C17" s="10">
        <v>2</v>
      </c>
      <c r="D17" s="11" t="s">
        <v>121</v>
      </c>
      <c r="E17" s="70">
        <v>216000</v>
      </c>
      <c r="F17" s="13">
        <f>E17*C17</f>
        <v>432000</v>
      </c>
      <c r="H17" s="9">
        <f t="shared" si="1"/>
        <v>9</v>
      </c>
      <c r="I17" s="10">
        <v>2</v>
      </c>
      <c r="J17" s="11" t="s">
        <v>121</v>
      </c>
      <c r="K17" s="71">
        <v>280000</v>
      </c>
      <c r="L17" s="13">
        <f>K17*I17</f>
        <v>560000</v>
      </c>
    </row>
    <row r="18" spans="2:12" ht="20.100000000000001" customHeight="1" x14ac:dyDescent="0.25">
      <c r="B18" s="9">
        <f t="shared" si="0"/>
        <v>10</v>
      </c>
      <c r="C18" s="10">
        <v>2</v>
      </c>
      <c r="D18" s="11" t="s">
        <v>122</v>
      </c>
      <c r="E18" s="70">
        <v>160000</v>
      </c>
      <c r="F18" s="13">
        <f t="shared" si="2"/>
        <v>320000</v>
      </c>
      <c r="H18" s="9">
        <f t="shared" si="1"/>
        <v>10</v>
      </c>
      <c r="I18" s="10">
        <v>2</v>
      </c>
      <c r="J18" s="11" t="s">
        <v>122</v>
      </c>
      <c r="K18" s="71">
        <v>260000</v>
      </c>
      <c r="L18" s="13">
        <f t="shared" ref="L18:L42" si="4">K18*I18</f>
        <v>520000</v>
      </c>
    </row>
    <row r="19" spans="2:12" ht="20.100000000000001" customHeight="1" x14ac:dyDescent="0.25">
      <c r="B19" s="9">
        <f t="shared" si="0"/>
        <v>11</v>
      </c>
      <c r="C19" s="10">
        <v>2</v>
      </c>
      <c r="D19" s="11" t="s">
        <v>124</v>
      </c>
      <c r="E19" s="70">
        <v>192000</v>
      </c>
      <c r="F19" s="13">
        <f t="shared" si="2"/>
        <v>384000</v>
      </c>
      <c r="H19" s="9">
        <f t="shared" si="1"/>
        <v>11</v>
      </c>
      <c r="I19" s="10">
        <v>2</v>
      </c>
      <c r="J19" s="11" t="s">
        <v>124</v>
      </c>
      <c r="K19" s="71">
        <v>250000</v>
      </c>
      <c r="L19" s="13">
        <f t="shared" si="4"/>
        <v>500000</v>
      </c>
    </row>
    <row r="20" spans="2:12" ht="20.100000000000001" customHeight="1" x14ac:dyDescent="0.25">
      <c r="B20" s="9">
        <f t="shared" si="0"/>
        <v>12</v>
      </c>
      <c r="C20" s="10">
        <v>2</v>
      </c>
      <c r="D20" s="11" t="s">
        <v>123</v>
      </c>
      <c r="E20" s="70">
        <v>192000</v>
      </c>
      <c r="F20" s="13">
        <f t="shared" si="2"/>
        <v>384000</v>
      </c>
      <c r="H20" s="9">
        <f t="shared" si="1"/>
        <v>12</v>
      </c>
      <c r="I20" s="10">
        <v>2</v>
      </c>
      <c r="J20" s="11" t="s">
        <v>123</v>
      </c>
      <c r="K20" s="71">
        <v>250000</v>
      </c>
      <c r="L20" s="13">
        <f t="shared" si="4"/>
        <v>500000</v>
      </c>
    </row>
    <row r="21" spans="2:12" ht="20.100000000000001" customHeight="1" x14ac:dyDescent="0.25">
      <c r="B21" s="9">
        <f t="shared" si="0"/>
        <v>13</v>
      </c>
      <c r="C21" s="10">
        <v>2</v>
      </c>
      <c r="D21" s="11" t="s">
        <v>125</v>
      </c>
      <c r="E21" s="70">
        <v>180000</v>
      </c>
      <c r="F21" s="13">
        <f t="shared" si="2"/>
        <v>360000</v>
      </c>
      <c r="H21" s="9">
        <f t="shared" si="1"/>
        <v>13</v>
      </c>
      <c r="I21" s="10">
        <v>2</v>
      </c>
      <c r="J21" s="11" t="s">
        <v>125</v>
      </c>
      <c r="K21" s="71">
        <v>290000</v>
      </c>
      <c r="L21" s="13">
        <f t="shared" si="4"/>
        <v>580000</v>
      </c>
    </row>
    <row r="22" spans="2:12" ht="20.100000000000001" customHeight="1" x14ac:dyDescent="0.25">
      <c r="B22" s="9">
        <f t="shared" si="0"/>
        <v>14</v>
      </c>
      <c r="C22" s="10">
        <v>2</v>
      </c>
      <c r="D22" s="11" t="s">
        <v>126</v>
      </c>
      <c r="E22" s="70">
        <v>150000</v>
      </c>
      <c r="F22" s="13">
        <f t="shared" si="2"/>
        <v>300000</v>
      </c>
      <c r="H22" s="9">
        <f t="shared" si="1"/>
        <v>14</v>
      </c>
      <c r="I22" s="10">
        <v>2</v>
      </c>
      <c r="J22" s="11" t="s">
        <v>126</v>
      </c>
      <c r="K22" s="71">
        <v>225000</v>
      </c>
      <c r="L22" s="13">
        <f t="shared" si="4"/>
        <v>450000</v>
      </c>
    </row>
    <row r="23" spans="2:12" ht="20.100000000000001" customHeight="1" x14ac:dyDescent="0.25">
      <c r="B23" s="9">
        <f t="shared" si="0"/>
        <v>15</v>
      </c>
      <c r="C23" s="10">
        <v>2</v>
      </c>
      <c r="D23" s="11" t="s">
        <v>127</v>
      </c>
      <c r="E23" s="70">
        <v>119000</v>
      </c>
      <c r="F23" s="13">
        <f t="shared" si="2"/>
        <v>238000</v>
      </c>
      <c r="H23" s="9">
        <f t="shared" si="1"/>
        <v>15</v>
      </c>
      <c r="I23" s="10">
        <v>2</v>
      </c>
      <c r="J23" s="11" t="s">
        <v>127</v>
      </c>
      <c r="K23" s="71">
        <v>225000</v>
      </c>
      <c r="L23" s="13">
        <f t="shared" si="4"/>
        <v>450000</v>
      </c>
    </row>
    <row r="24" spans="2:12" ht="20.100000000000001" customHeight="1" x14ac:dyDescent="0.25">
      <c r="B24" s="9">
        <f t="shared" si="0"/>
        <v>16</v>
      </c>
      <c r="C24" s="10">
        <v>5</v>
      </c>
      <c r="D24" s="11" t="s">
        <v>128</v>
      </c>
      <c r="E24" s="70">
        <v>51000</v>
      </c>
      <c r="F24" s="13">
        <f t="shared" si="2"/>
        <v>255000</v>
      </c>
      <c r="H24" s="9">
        <f t="shared" si="1"/>
        <v>16</v>
      </c>
      <c r="I24" s="10">
        <v>5</v>
      </c>
      <c r="J24" s="11" t="s">
        <v>128</v>
      </c>
      <c r="K24" s="71">
        <v>70000</v>
      </c>
      <c r="L24" s="13">
        <f t="shared" si="4"/>
        <v>350000</v>
      </c>
    </row>
    <row r="25" spans="2:12" ht="20.100000000000001" customHeight="1" x14ac:dyDescent="0.25">
      <c r="B25" s="9">
        <f t="shared" si="0"/>
        <v>17</v>
      </c>
      <c r="C25" s="10">
        <v>3</v>
      </c>
      <c r="D25" s="11" t="s">
        <v>129</v>
      </c>
      <c r="E25" s="70">
        <v>70000</v>
      </c>
      <c r="F25" s="13">
        <f t="shared" si="2"/>
        <v>210000</v>
      </c>
      <c r="H25" s="9">
        <f t="shared" si="1"/>
        <v>17</v>
      </c>
      <c r="I25" s="10">
        <v>3</v>
      </c>
      <c r="J25" s="11" t="s">
        <v>129</v>
      </c>
      <c r="K25" s="71">
        <v>80000</v>
      </c>
      <c r="L25" s="13">
        <f t="shared" si="4"/>
        <v>240000</v>
      </c>
    </row>
    <row r="26" spans="2:12" ht="20.100000000000001" customHeight="1" x14ac:dyDescent="0.25">
      <c r="B26" s="9">
        <f t="shared" si="0"/>
        <v>18</v>
      </c>
      <c r="C26" s="10">
        <v>2</v>
      </c>
      <c r="D26" s="11" t="s">
        <v>130</v>
      </c>
      <c r="E26" s="70">
        <v>45000</v>
      </c>
      <c r="F26" s="13">
        <f t="shared" si="2"/>
        <v>90000</v>
      </c>
      <c r="H26" s="9">
        <f t="shared" si="1"/>
        <v>18</v>
      </c>
      <c r="I26" s="10">
        <v>2</v>
      </c>
      <c r="J26" s="11" t="s">
        <v>130</v>
      </c>
      <c r="K26" s="71">
        <v>60000</v>
      </c>
      <c r="L26" s="13">
        <f t="shared" si="4"/>
        <v>120000</v>
      </c>
    </row>
    <row r="27" spans="2:12" ht="20.100000000000001" customHeight="1" x14ac:dyDescent="0.25">
      <c r="B27" s="9">
        <f t="shared" si="0"/>
        <v>19</v>
      </c>
      <c r="C27" s="10">
        <v>2</v>
      </c>
      <c r="D27" s="11" t="s">
        <v>131</v>
      </c>
      <c r="E27" s="70">
        <v>112000</v>
      </c>
      <c r="F27" s="13">
        <f t="shared" si="2"/>
        <v>224000</v>
      </c>
      <c r="H27" s="9">
        <f t="shared" si="1"/>
        <v>19</v>
      </c>
      <c r="I27" s="10">
        <v>2</v>
      </c>
      <c r="J27" s="11" t="s">
        <v>131</v>
      </c>
      <c r="K27" s="71">
        <v>170000</v>
      </c>
      <c r="L27" s="13">
        <f t="shared" si="4"/>
        <v>340000</v>
      </c>
    </row>
    <row r="28" spans="2:12" ht="20.100000000000001" customHeight="1" x14ac:dyDescent="0.25">
      <c r="B28" s="9">
        <f t="shared" si="0"/>
        <v>20</v>
      </c>
      <c r="C28" s="10">
        <v>2</v>
      </c>
      <c r="D28" s="11" t="s">
        <v>132</v>
      </c>
      <c r="E28" s="70">
        <v>178000</v>
      </c>
      <c r="F28" s="13">
        <f t="shared" si="2"/>
        <v>356000</v>
      </c>
      <c r="H28" s="9">
        <f t="shared" si="1"/>
        <v>20</v>
      </c>
      <c r="I28" s="10">
        <v>2</v>
      </c>
      <c r="J28" s="11" t="s">
        <v>132</v>
      </c>
      <c r="K28" s="71">
        <v>250000</v>
      </c>
      <c r="L28" s="13">
        <f t="shared" si="4"/>
        <v>500000</v>
      </c>
    </row>
    <row r="29" spans="2:12" ht="20.100000000000001" customHeight="1" x14ac:dyDescent="0.25">
      <c r="B29" s="9">
        <f t="shared" si="0"/>
        <v>21</v>
      </c>
      <c r="C29" s="10">
        <v>2</v>
      </c>
      <c r="D29" s="11" t="s">
        <v>139</v>
      </c>
      <c r="E29" s="70">
        <v>148000</v>
      </c>
      <c r="F29" s="13">
        <f t="shared" si="2"/>
        <v>296000</v>
      </c>
      <c r="H29" s="9">
        <f t="shared" si="1"/>
        <v>21</v>
      </c>
      <c r="I29" s="10">
        <v>2</v>
      </c>
      <c r="J29" s="11" t="s">
        <v>139</v>
      </c>
      <c r="K29" s="71">
        <v>190000</v>
      </c>
      <c r="L29" s="13">
        <f t="shared" si="4"/>
        <v>380000</v>
      </c>
    </row>
    <row r="30" spans="2:12" ht="20.100000000000001" customHeight="1" x14ac:dyDescent="0.25">
      <c r="B30" s="9">
        <f t="shared" si="0"/>
        <v>22</v>
      </c>
      <c r="C30" s="10">
        <v>2</v>
      </c>
      <c r="D30" s="11" t="s">
        <v>143</v>
      </c>
      <c r="E30" s="70">
        <v>160000</v>
      </c>
      <c r="F30" s="13">
        <f t="shared" si="2"/>
        <v>320000</v>
      </c>
      <c r="H30" s="9">
        <f t="shared" si="1"/>
        <v>22</v>
      </c>
      <c r="I30" s="10">
        <v>2</v>
      </c>
      <c r="J30" s="11" t="s">
        <v>143</v>
      </c>
      <c r="K30" s="71">
        <v>225000</v>
      </c>
      <c r="L30" s="13">
        <f t="shared" si="4"/>
        <v>450000</v>
      </c>
    </row>
    <row r="31" spans="2:12" ht="20.100000000000001" customHeight="1" x14ac:dyDescent="0.25">
      <c r="B31" s="9">
        <f t="shared" si="0"/>
        <v>23</v>
      </c>
      <c r="C31" s="10">
        <v>2</v>
      </c>
      <c r="D31" s="11" t="s">
        <v>140</v>
      </c>
      <c r="E31" s="70">
        <v>204000</v>
      </c>
      <c r="F31" s="13">
        <f t="shared" si="2"/>
        <v>408000</v>
      </c>
      <c r="H31" s="9">
        <f t="shared" si="1"/>
        <v>23</v>
      </c>
      <c r="I31" s="10">
        <v>2</v>
      </c>
      <c r="J31" s="11" t="s">
        <v>140</v>
      </c>
      <c r="K31" s="71">
        <v>304000</v>
      </c>
      <c r="L31" s="13">
        <f t="shared" si="4"/>
        <v>608000</v>
      </c>
    </row>
    <row r="32" spans="2:12" ht="20.100000000000001" customHeight="1" x14ac:dyDescent="0.25">
      <c r="B32" s="9">
        <f t="shared" si="0"/>
        <v>24</v>
      </c>
      <c r="C32" s="10">
        <v>2</v>
      </c>
      <c r="D32" s="11" t="s">
        <v>141</v>
      </c>
      <c r="E32" s="70">
        <v>233000</v>
      </c>
      <c r="F32" s="13">
        <f t="shared" si="2"/>
        <v>466000</v>
      </c>
      <c r="H32" s="9">
        <f t="shared" si="1"/>
        <v>24</v>
      </c>
      <c r="I32" s="10">
        <v>2</v>
      </c>
      <c r="J32" s="11" t="s">
        <v>141</v>
      </c>
      <c r="K32" s="71">
        <v>333000</v>
      </c>
      <c r="L32" s="13">
        <f t="shared" si="4"/>
        <v>666000</v>
      </c>
    </row>
    <row r="33" spans="2:12" ht="20.100000000000001" customHeight="1" x14ac:dyDescent="0.25">
      <c r="B33" s="9">
        <f t="shared" si="0"/>
        <v>25</v>
      </c>
      <c r="C33" s="10">
        <v>2</v>
      </c>
      <c r="D33" s="11" t="s">
        <v>142</v>
      </c>
      <c r="E33" s="70">
        <v>165000</v>
      </c>
      <c r="F33" s="13">
        <f t="shared" si="2"/>
        <v>330000</v>
      </c>
      <c r="H33" s="9">
        <f t="shared" si="1"/>
        <v>25</v>
      </c>
      <c r="I33" s="10">
        <v>2</v>
      </c>
      <c r="J33" s="11" t="s">
        <v>142</v>
      </c>
      <c r="K33" s="71">
        <v>265000</v>
      </c>
      <c r="L33" s="13">
        <f t="shared" si="4"/>
        <v>530000</v>
      </c>
    </row>
    <row r="34" spans="2:12" ht="20.100000000000001" customHeight="1" x14ac:dyDescent="0.25">
      <c r="B34" s="9">
        <f t="shared" si="0"/>
        <v>26</v>
      </c>
      <c r="C34" s="10">
        <v>1</v>
      </c>
      <c r="D34" s="11" t="s">
        <v>133</v>
      </c>
      <c r="E34" s="70">
        <v>229000</v>
      </c>
      <c r="F34" s="13">
        <f t="shared" si="2"/>
        <v>229000</v>
      </c>
      <c r="H34" s="9">
        <f t="shared" si="1"/>
        <v>26</v>
      </c>
      <c r="I34" s="10">
        <v>1</v>
      </c>
      <c r="J34" s="11" t="s">
        <v>133</v>
      </c>
      <c r="K34" s="71">
        <v>330000</v>
      </c>
      <c r="L34" s="13">
        <f t="shared" si="4"/>
        <v>330000</v>
      </c>
    </row>
    <row r="35" spans="2:12" ht="20.100000000000001" customHeight="1" x14ac:dyDescent="0.25">
      <c r="B35" s="9">
        <f t="shared" si="0"/>
        <v>27</v>
      </c>
      <c r="C35" s="10">
        <v>5</v>
      </c>
      <c r="D35" s="11" t="s">
        <v>134</v>
      </c>
      <c r="E35" s="70">
        <v>62000</v>
      </c>
      <c r="F35" s="13">
        <f t="shared" si="2"/>
        <v>310000</v>
      </c>
      <c r="H35" s="9">
        <f t="shared" si="1"/>
        <v>27</v>
      </c>
      <c r="I35" s="10">
        <v>5</v>
      </c>
      <c r="J35" s="11" t="s">
        <v>134</v>
      </c>
      <c r="K35" s="71">
        <v>75000</v>
      </c>
      <c r="L35" s="13">
        <f t="shared" si="4"/>
        <v>375000</v>
      </c>
    </row>
    <row r="36" spans="2:12" ht="20.100000000000001" customHeight="1" x14ac:dyDescent="0.25">
      <c r="B36" s="9">
        <f t="shared" si="0"/>
        <v>28</v>
      </c>
      <c r="C36" s="10">
        <v>2</v>
      </c>
      <c r="D36" s="11" t="s">
        <v>135</v>
      </c>
      <c r="E36" s="70">
        <v>133000</v>
      </c>
      <c r="F36" s="13">
        <f t="shared" si="2"/>
        <v>266000</v>
      </c>
      <c r="H36" s="9">
        <f t="shared" si="1"/>
        <v>28</v>
      </c>
      <c r="I36" s="10">
        <v>2</v>
      </c>
      <c r="J36" s="11" t="s">
        <v>135</v>
      </c>
      <c r="K36" s="71">
        <v>200000</v>
      </c>
      <c r="L36" s="13">
        <f t="shared" si="4"/>
        <v>400000</v>
      </c>
    </row>
    <row r="37" spans="2:12" ht="20.100000000000001" customHeight="1" x14ac:dyDescent="0.25">
      <c r="B37" s="9">
        <f t="shared" si="0"/>
        <v>29</v>
      </c>
      <c r="C37" s="10">
        <v>2</v>
      </c>
      <c r="D37" s="11" t="s">
        <v>136</v>
      </c>
      <c r="E37" s="70">
        <v>133000</v>
      </c>
      <c r="F37" s="13">
        <f t="shared" si="2"/>
        <v>266000</v>
      </c>
      <c r="H37" s="9">
        <f t="shared" si="1"/>
        <v>29</v>
      </c>
      <c r="I37" s="10">
        <v>2</v>
      </c>
      <c r="J37" s="11" t="s">
        <v>136</v>
      </c>
      <c r="K37" s="71">
        <v>200000</v>
      </c>
      <c r="L37" s="13">
        <f t="shared" si="4"/>
        <v>400000</v>
      </c>
    </row>
    <row r="38" spans="2:12" ht="20.100000000000001" customHeight="1" x14ac:dyDescent="0.25">
      <c r="B38" s="9">
        <f t="shared" si="0"/>
        <v>30</v>
      </c>
      <c r="C38" s="10">
        <v>4</v>
      </c>
      <c r="D38" s="11" t="s">
        <v>137</v>
      </c>
      <c r="E38" s="70">
        <v>54000</v>
      </c>
      <c r="F38" s="13">
        <f t="shared" si="2"/>
        <v>216000</v>
      </c>
      <c r="H38" s="9">
        <f t="shared" si="1"/>
        <v>30</v>
      </c>
      <c r="I38" s="10">
        <v>4</v>
      </c>
      <c r="J38" s="11" t="s">
        <v>137</v>
      </c>
      <c r="K38" s="71">
        <v>75000</v>
      </c>
      <c r="L38" s="13">
        <f t="shared" si="4"/>
        <v>300000</v>
      </c>
    </row>
    <row r="39" spans="2:12" ht="20.100000000000001" customHeight="1" x14ac:dyDescent="0.25">
      <c r="B39" s="9">
        <f t="shared" si="0"/>
        <v>31</v>
      </c>
      <c r="C39" s="10">
        <v>2</v>
      </c>
      <c r="D39" s="11" t="s">
        <v>116</v>
      </c>
      <c r="E39" s="70">
        <v>136000</v>
      </c>
      <c r="F39" s="13">
        <f t="shared" si="2"/>
        <v>272000</v>
      </c>
      <c r="H39" s="9">
        <f t="shared" si="1"/>
        <v>31</v>
      </c>
      <c r="I39" s="10">
        <v>2</v>
      </c>
      <c r="J39" s="11" t="s">
        <v>116</v>
      </c>
      <c r="K39" s="71">
        <v>190000</v>
      </c>
      <c r="L39" s="13">
        <f t="shared" si="4"/>
        <v>380000</v>
      </c>
    </row>
    <row r="40" spans="2:12" ht="20.100000000000001" customHeight="1" x14ac:dyDescent="0.25">
      <c r="B40" s="9">
        <f t="shared" si="0"/>
        <v>32</v>
      </c>
      <c r="C40" s="19">
        <v>5</v>
      </c>
      <c r="D40" s="20" t="s">
        <v>138</v>
      </c>
      <c r="E40" s="72">
        <v>74000</v>
      </c>
      <c r="F40" s="22">
        <f>E40*C40</f>
        <v>370000</v>
      </c>
      <c r="H40" s="9">
        <f t="shared" si="1"/>
        <v>32</v>
      </c>
      <c r="I40" s="19">
        <v>5</v>
      </c>
      <c r="J40" s="20" t="s">
        <v>138</v>
      </c>
      <c r="K40" s="73">
        <v>85000</v>
      </c>
      <c r="L40" s="22">
        <f>K40*I40</f>
        <v>425000</v>
      </c>
    </row>
    <row r="41" spans="2:12" ht="30" customHeight="1" x14ac:dyDescent="0.3">
      <c r="B41" s="47" t="s">
        <v>51</v>
      </c>
      <c r="C41" s="48"/>
      <c r="D41" s="49"/>
      <c r="E41" s="23"/>
      <c r="F41" s="24">
        <f>SUM(F9:F40)</f>
        <v>10520000</v>
      </c>
      <c r="H41" s="47" t="s">
        <v>51</v>
      </c>
      <c r="I41" s="48"/>
      <c r="J41" s="49"/>
      <c r="K41" s="23"/>
      <c r="L41" s="24">
        <f>SUM(L9:L40)</f>
        <v>15292000</v>
      </c>
    </row>
    <row r="42" spans="2:12" x14ac:dyDescent="0.25">
      <c r="H42" s="1"/>
    </row>
  </sheetData>
  <mergeCells count="18">
    <mergeCell ref="H41:J41"/>
    <mergeCell ref="H1:L1"/>
    <mergeCell ref="H2:L2"/>
    <mergeCell ref="H3:L3"/>
    <mergeCell ref="H4:L4"/>
    <mergeCell ref="H6:H7"/>
    <mergeCell ref="I6:I7"/>
    <mergeCell ref="J6:J7"/>
    <mergeCell ref="L6:L7"/>
    <mergeCell ref="B41:D41"/>
    <mergeCell ref="B1:F1"/>
    <mergeCell ref="B2:F2"/>
    <mergeCell ref="B3:F3"/>
    <mergeCell ref="B4:F4"/>
    <mergeCell ref="B6:B7"/>
    <mergeCell ref="C6:C7"/>
    <mergeCell ref="D6:D7"/>
    <mergeCell ref="F6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tabSelected="1" workbookViewId="0">
      <selection activeCell="F6" sqref="F5:F7"/>
    </sheetView>
  </sheetViews>
  <sheetFormatPr defaultRowHeight="15" x14ac:dyDescent="0.25"/>
  <cols>
    <col min="1" max="1" width="2.7109375" customWidth="1"/>
    <col min="2" max="2" width="4.7109375" style="1" customWidth="1"/>
    <col min="3" max="3" width="5.7109375" customWidth="1"/>
    <col min="4" max="4" width="29.7109375" customWidth="1"/>
    <col min="5" max="5" width="10.7109375" customWidth="1"/>
    <col min="6" max="6" width="16.85546875" customWidth="1"/>
    <col min="8" max="8" width="4.7109375" customWidth="1"/>
    <col min="9" max="9" width="5.7109375" customWidth="1"/>
    <col min="10" max="10" width="29.7109375" customWidth="1"/>
    <col min="11" max="11" width="10.7109375" customWidth="1"/>
    <col min="12" max="12" width="15.7109375" customWidth="1"/>
  </cols>
  <sheetData>
    <row r="1" spans="2:12" ht="20.25" x14ac:dyDescent="0.3">
      <c r="B1" s="50" t="s">
        <v>0</v>
      </c>
      <c r="C1" s="50"/>
      <c r="D1" s="50"/>
      <c r="E1" s="50"/>
      <c r="F1" s="50"/>
      <c r="H1" s="50" t="s">
        <v>0</v>
      </c>
      <c r="I1" s="50"/>
      <c r="J1" s="50"/>
      <c r="K1" s="50"/>
      <c r="L1" s="50"/>
    </row>
    <row r="2" spans="2:12" ht="23.25" x14ac:dyDescent="0.35">
      <c r="B2" s="51" t="s">
        <v>1</v>
      </c>
      <c r="C2" s="51"/>
      <c r="D2" s="51"/>
      <c r="E2" s="51"/>
      <c r="F2" s="51"/>
      <c r="H2" s="51" t="s">
        <v>1</v>
      </c>
      <c r="I2" s="51"/>
      <c r="J2" s="51"/>
      <c r="K2" s="51"/>
      <c r="L2" s="51"/>
    </row>
    <row r="3" spans="2:12" x14ac:dyDescent="0.25">
      <c r="B3" s="62" t="s">
        <v>145</v>
      </c>
      <c r="C3" s="62"/>
      <c r="D3" s="62"/>
      <c r="E3" s="62"/>
      <c r="F3" s="62"/>
      <c r="H3" s="62" t="s">
        <v>112</v>
      </c>
      <c r="I3" s="62"/>
      <c r="J3" s="62"/>
      <c r="K3" s="62"/>
      <c r="L3" s="62"/>
    </row>
    <row r="4" spans="2:12" ht="15.75" x14ac:dyDescent="0.25">
      <c r="B4" s="52" t="s">
        <v>2</v>
      </c>
      <c r="C4" s="52"/>
      <c r="D4" s="52"/>
      <c r="E4" s="52"/>
      <c r="F4" s="52"/>
      <c r="H4" s="52" t="s">
        <v>2</v>
      </c>
      <c r="I4" s="52"/>
      <c r="J4" s="52"/>
      <c r="K4" s="52"/>
      <c r="L4" s="52"/>
    </row>
    <row r="5" spans="2:12" ht="5.0999999999999996" customHeight="1" thickBot="1" x14ac:dyDescent="0.3">
      <c r="C5" s="2"/>
      <c r="D5" s="2"/>
      <c r="E5" s="2"/>
      <c r="F5" s="2"/>
      <c r="H5" s="1"/>
      <c r="I5" s="2"/>
      <c r="J5" s="2"/>
      <c r="K5" s="2"/>
      <c r="L5" s="2"/>
    </row>
    <row r="6" spans="2:12" ht="15.75" x14ac:dyDescent="0.25">
      <c r="B6" s="53" t="s">
        <v>3</v>
      </c>
      <c r="C6" s="55" t="s">
        <v>4</v>
      </c>
      <c r="D6" s="57" t="s">
        <v>5</v>
      </c>
      <c r="E6" s="29" t="s">
        <v>6</v>
      </c>
      <c r="F6" s="59" t="s">
        <v>7</v>
      </c>
      <c r="H6" s="53" t="s">
        <v>3</v>
      </c>
      <c r="I6" s="55" t="s">
        <v>4</v>
      </c>
      <c r="J6" s="57" t="s">
        <v>5</v>
      </c>
      <c r="K6" s="29" t="s">
        <v>6</v>
      </c>
      <c r="L6" s="59" t="s">
        <v>7</v>
      </c>
    </row>
    <row r="7" spans="2:12" ht="16.5" thickBot="1" x14ac:dyDescent="0.3">
      <c r="B7" s="54"/>
      <c r="C7" s="56"/>
      <c r="D7" s="58"/>
      <c r="E7" s="30" t="s">
        <v>8</v>
      </c>
      <c r="F7" s="60"/>
      <c r="H7" s="54"/>
      <c r="I7" s="56"/>
      <c r="J7" s="58"/>
      <c r="K7" s="30" t="s">
        <v>144</v>
      </c>
      <c r="L7" s="60"/>
    </row>
    <row r="8" spans="2:12" ht="5.0999999999999996" customHeight="1" x14ac:dyDescent="0.25">
      <c r="B8" s="5"/>
      <c r="C8" s="6"/>
      <c r="D8" s="7"/>
      <c r="E8" s="7"/>
      <c r="F8" s="8"/>
      <c r="H8" s="5"/>
      <c r="I8" s="6"/>
      <c r="J8" s="7"/>
      <c r="K8" s="7"/>
      <c r="L8" s="8"/>
    </row>
    <row r="9" spans="2:12" ht="20.100000000000001" customHeight="1" x14ac:dyDescent="0.25">
      <c r="B9" s="9">
        <v>1</v>
      </c>
      <c r="C9" s="10">
        <v>2</v>
      </c>
      <c r="D9" s="11" t="s">
        <v>146</v>
      </c>
      <c r="E9" s="70">
        <v>365000</v>
      </c>
      <c r="F9" s="13">
        <f>E9*C9</f>
        <v>730000</v>
      </c>
      <c r="H9" s="9">
        <v>1</v>
      </c>
      <c r="I9" s="10">
        <v>2</v>
      </c>
      <c r="J9" s="11" t="s">
        <v>146</v>
      </c>
      <c r="K9" s="71">
        <v>450000</v>
      </c>
      <c r="L9" s="13">
        <f>K9*I9</f>
        <v>900000</v>
      </c>
    </row>
    <row r="10" spans="2:12" ht="20.100000000000001" customHeight="1" x14ac:dyDescent="0.25">
      <c r="B10" s="9">
        <f>B9+1</f>
        <v>2</v>
      </c>
      <c r="C10" s="10">
        <v>2</v>
      </c>
      <c r="D10" s="11" t="s">
        <v>147</v>
      </c>
      <c r="E10" s="70">
        <v>85000</v>
      </c>
      <c r="F10" s="13">
        <f>E10*C10</f>
        <v>170000</v>
      </c>
      <c r="H10" s="9">
        <f>H9+1</f>
        <v>2</v>
      </c>
      <c r="I10" s="10">
        <v>2</v>
      </c>
      <c r="J10" s="11" t="s">
        <v>147</v>
      </c>
      <c r="K10" s="71">
        <v>185000</v>
      </c>
      <c r="L10" s="13">
        <f>K10*I10</f>
        <v>370000</v>
      </c>
    </row>
    <row r="11" spans="2:12" ht="20.100000000000001" customHeight="1" x14ac:dyDescent="0.25">
      <c r="B11" s="9">
        <f t="shared" ref="B11:B40" si="0">B10+1</f>
        <v>3</v>
      </c>
      <c r="C11" s="10">
        <v>2</v>
      </c>
      <c r="D11" s="11" t="s">
        <v>148</v>
      </c>
      <c r="E11" s="70">
        <v>95000</v>
      </c>
      <c r="F11" s="13">
        <f>E11*C11</f>
        <v>190000</v>
      </c>
      <c r="H11" s="9">
        <f t="shared" ref="H11:H40" si="1">H10+1</f>
        <v>3</v>
      </c>
      <c r="I11" s="10">
        <v>2</v>
      </c>
      <c r="J11" s="11" t="s">
        <v>148</v>
      </c>
      <c r="K11" s="71">
        <v>160000</v>
      </c>
      <c r="L11" s="13">
        <f>K11*I11</f>
        <v>320000</v>
      </c>
    </row>
    <row r="12" spans="2:12" ht="20.100000000000001" customHeight="1" x14ac:dyDescent="0.25">
      <c r="B12" s="9">
        <f t="shared" si="0"/>
        <v>4</v>
      </c>
      <c r="C12" s="10">
        <v>25</v>
      </c>
      <c r="D12" s="11" t="s">
        <v>149</v>
      </c>
      <c r="E12" s="70">
        <v>9000</v>
      </c>
      <c r="F12" s="13">
        <f t="shared" ref="F12:F39" si="2">E12*C12</f>
        <v>225000</v>
      </c>
      <c r="H12" s="9">
        <f t="shared" si="1"/>
        <v>4</v>
      </c>
      <c r="I12" s="10">
        <v>25</v>
      </c>
      <c r="J12" s="11" t="s">
        <v>149</v>
      </c>
      <c r="K12" s="71">
        <v>20000</v>
      </c>
      <c r="L12" s="13">
        <f t="shared" ref="L12:L39" si="3">K12*I12</f>
        <v>500000</v>
      </c>
    </row>
    <row r="13" spans="2:12" ht="20.100000000000001" customHeight="1" x14ac:dyDescent="0.25">
      <c r="B13" s="9">
        <f t="shared" si="0"/>
        <v>5</v>
      </c>
      <c r="C13" s="10">
        <v>25</v>
      </c>
      <c r="D13" s="11" t="s">
        <v>150</v>
      </c>
      <c r="E13" s="70">
        <v>9000</v>
      </c>
      <c r="F13" s="13">
        <f t="shared" si="2"/>
        <v>225000</v>
      </c>
      <c r="H13" s="9">
        <f t="shared" si="1"/>
        <v>5</v>
      </c>
      <c r="I13" s="10">
        <v>25</v>
      </c>
      <c r="J13" s="11" t="s">
        <v>150</v>
      </c>
      <c r="K13" s="71">
        <v>25000</v>
      </c>
      <c r="L13" s="13">
        <f t="shared" si="3"/>
        <v>625000</v>
      </c>
    </row>
    <row r="14" spans="2:12" ht="20.100000000000001" customHeight="1" x14ac:dyDescent="0.25">
      <c r="B14" s="9">
        <f t="shared" si="0"/>
        <v>6</v>
      </c>
      <c r="C14" s="10">
        <v>2</v>
      </c>
      <c r="D14" s="11" t="s">
        <v>151</v>
      </c>
      <c r="E14" s="70">
        <v>95000</v>
      </c>
      <c r="F14" s="13">
        <f>E14*C14</f>
        <v>190000</v>
      </c>
      <c r="H14" s="9">
        <f t="shared" si="1"/>
        <v>6</v>
      </c>
      <c r="I14" s="10">
        <v>2</v>
      </c>
      <c r="J14" s="11" t="s">
        <v>151</v>
      </c>
      <c r="K14" s="71">
        <v>195000</v>
      </c>
      <c r="L14" s="13">
        <f>K14*I14</f>
        <v>390000</v>
      </c>
    </row>
    <row r="15" spans="2:12" ht="20.100000000000001" customHeight="1" x14ac:dyDescent="0.25">
      <c r="B15" s="9">
        <f t="shared" si="0"/>
        <v>7</v>
      </c>
      <c r="C15" s="10">
        <v>5</v>
      </c>
      <c r="D15" s="11" t="s">
        <v>152</v>
      </c>
      <c r="E15" s="70">
        <v>26000</v>
      </c>
      <c r="F15" s="13">
        <f>E15*C15</f>
        <v>130000</v>
      </c>
      <c r="H15" s="9">
        <f t="shared" si="1"/>
        <v>7</v>
      </c>
      <c r="I15" s="10">
        <v>5</v>
      </c>
      <c r="J15" s="11" t="s">
        <v>152</v>
      </c>
      <c r="K15" s="71">
        <v>40000</v>
      </c>
      <c r="L15" s="13">
        <f>K15*I15</f>
        <v>200000</v>
      </c>
    </row>
    <row r="16" spans="2:12" ht="20.100000000000001" customHeight="1" x14ac:dyDescent="0.25">
      <c r="B16" s="9">
        <f t="shared" si="0"/>
        <v>8</v>
      </c>
      <c r="C16" s="10">
        <v>100</v>
      </c>
      <c r="D16" s="11" t="s">
        <v>43</v>
      </c>
      <c r="E16" s="70">
        <v>500</v>
      </c>
      <c r="F16" s="13">
        <f>E16*C16</f>
        <v>50000</v>
      </c>
      <c r="H16" s="9">
        <f t="shared" si="1"/>
        <v>8</v>
      </c>
      <c r="I16" s="10">
        <v>100</v>
      </c>
      <c r="J16" s="11" t="s">
        <v>43</v>
      </c>
      <c r="K16" s="71">
        <v>1000</v>
      </c>
      <c r="L16" s="13">
        <f>K16*I16</f>
        <v>100000</v>
      </c>
    </row>
    <row r="17" spans="2:12" ht="20.100000000000001" customHeight="1" x14ac:dyDescent="0.25">
      <c r="B17" s="9">
        <f t="shared" si="0"/>
        <v>9</v>
      </c>
      <c r="C17" s="10">
        <v>10</v>
      </c>
      <c r="D17" s="11" t="s">
        <v>153</v>
      </c>
      <c r="E17" s="70">
        <v>18000</v>
      </c>
      <c r="F17" s="13">
        <f>E17*C17</f>
        <v>180000</v>
      </c>
      <c r="H17" s="9">
        <f t="shared" si="1"/>
        <v>9</v>
      </c>
      <c r="I17" s="10">
        <v>10</v>
      </c>
      <c r="J17" s="11" t="s">
        <v>153</v>
      </c>
      <c r="K17" s="71">
        <v>30000</v>
      </c>
      <c r="L17" s="13">
        <f>K17*I17</f>
        <v>300000</v>
      </c>
    </row>
    <row r="18" spans="2:12" ht="20.100000000000001" customHeight="1" x14ac:dyDescent="0.25">
      <c r="B18" s="9">
        <f t="shared" si="0"/>
        <v>10</v>
      </c>
      <c r="C18" s="10">
        <v>2</v>
      </c>
      <c r="D18" s="11" t="s">
        <v>154</v>
      </c>
      <c r="E18" s="70">
        <v>95000</v>
      </c>
      <c r="F18" s="13">
        <f t="shared" si="2"/>
        <v>190000</v>
      </c>
      <c r="H18" s="9">
        <f t="shared" si="1"/>
        <v>10</v>
      </c>
      <c r="I18" s="10">
        <v>2</v>
      </c>
      <c r="J18" s="11" t="s">
        <v>154</v>
      </c>
      <c r="K18" s="71">
        <v>165000</v>
      </c>
      <c r="L18" s="13">
        <f t="shared" ref="L18:L40" si="4">K18*I18</f>
        <v>330000</v>
      </c>
    </row>
    <row r="19" spans="2:12" ht="20.100000000000001" customHeight="1" x14ac:dyDescent="0.25">
      <c r="B19" s="9">
        <f t="shared" si="0"/>
        <v>11</v>
      </c>
      <c r="C19" s="10">
        <v>2</v>
      </c>
      <c r="D19" s="11" t="s">
        <v>155</v>
      </c>
      <c r="E19" s="70">
        <v>145000</v>
      </c>
      <c r="F19" s="13">
        <f t="shared" si="2"/>
        <v>290000</v>
      </c>
      <c r="H19" s="9">
        <f t="shared" si="1"/>
        <v>11</v>
      </c>
      <c r="I19" s="10">
        <v>2</v>
      </c>
      <c r="J19" s="11" t="s">
        <v>155</v>
      </c>
      <c r="K19" s="71">
        <v>225000</v>
      </c>
      <c r="L19" s="13">
        <f t="shared" si="4"/>
        <v>450000</v>
      </c>
    </row>
    <row r="20" spans="2:12" ht="20.100000000000001" customHeight="1" x14ac:dyDescent="0.25">
      <c r="B20" s="9">
        <f t="shared" si="0"/>
        <v>12</v>
      </c>
      <c r="C20" s="10">
        <v>10</v>
      </c>
      <c r="D20" s="11" t="s">
        <v>156</v>
      </c>
      <c r="E20" s="70">
        <v>21000</v>
      </c>
      <c r="F20" s="13">
        <f t="shared" si="2"/>
        <v>210000</v>
      </c>
      <c r="H20" s="9">
        <f t="shared" si="1"/>
        <v>12</v>
      </c>
      <c r="I20" s="10">
        <v>10</v>
      </c>
      <c r="J20" s="11" t="s">
        <v>156</v>
      </c>
      <c r="K20" s="71">
        <v>45000</v>
      </c>
      <c r="L20" s="13">
        <f t="shared" si="4"/>
        <v>450000</v>
      </c>
    </row>
    <row r="21" spans="2:12" ht="20.100000000000001" customHeight="1" x14ac:dyDescent="0.25">
      <c r="B21" s="9">
        <f t="shared" si="0"/>
        <v>13</v>
      </c>
      <c r="C21" s="10">
        <v>25</v>
      </c>
      <c r="D21" s="11" t="s">
        <v>157</v>
      </c>
      <c r="E21" s="70">
        <v>5600</v>
      </c>
      <c r="F21" s="13">
        <f t="shared" si="2"/>
        <v>140000</v>
      </c>
      <c r="H21" s="9">
        <f t="shared" si="1"/>
        <v>13</v>
      </c>
      <c r="I21" s="10">
        <v>25</v>
      </c>
      <c r="J21" s="11" t="s">
        <v>157</v>
      </c>
      <c r="K21" s="71">
        <v>8000</v>
      </c>
      <c r="L21" s="13">
        <f t="shared" si="4"/>
        <v>200000</v>
      </c>
    </row>
    <row r="22" spans="2:12" ht="20.100000000000001" customHeight="1" x14ac:dyDescent="0.25">
      <c r="B22" s="9">
        <f t="shared" si="0"/>
        <v>14</v>
      </c>
      <c r="C22" s="10">
        <v>2</v>
      </c>
      <c r="D22" s="11" t="s">
        <v>158</v>
      </c>
      <c r="E22" s="70">
        <v>85000</v>
      </c>
      <c r="F22" s="13">
        <f t="shared" si="2"/>
        <v>170000</v>
      </c>
      <c r="H22" s="9">
        <f t="shared" si="1"/>
        <v>14</v>
      </c>
      <c r="I22" s="10">
        <v>2</v>
      </c>
      <c r="J22" s="11" t="s">
        <v>158</v>
      </c>
      <c r="K22" s="71">
        <v>180000</v>
      </c>
      <c r="L22" s="13">
        <f t="shared" si="4"/>
        <v>360000</v>
      </c>
    </row>
    <row r="23" spans="2:12" ht="20.100000000000001" customHeight="1" x14ac:dyDescent="0.25">
      <c r="B23" s="9">
        <f t="shared" si="0"/>
        <v>15</v>
      </c>
      <c r="C23" s="10">
        <v>10</v>
      </c>
      <c r="D23" s="11" t="s">
        <v>159</v>
      </c>
      <c r="E23" s="70">
        <v>13000</v>
      </c>
      <c r="F23" s="13">
        <f t="shared" si="2"/>
        <v>130000</v>
      </c>
      <c r="H23" s="9">
        <f t="shared" si="1"/>
        <v>15</v>
      </c>
      <c r="I23" s="10">
        <v>10</v>
      </c>
      <c r="J23" s="11" t="s">
        <v>159</v>
      </c>
      <c r="K23" s="71">
        <v>15000</v>
      </c>
      <c r="L23" s="13">
        <f t="shared" si="4"/>
        <v>150000</v>
      </c>
    </row>
    <row r="24" spans="2:12" ht="20.100000000000001" customHeight="1" x14ac:dyDescent="0.25">
      <c r="B24" s="9">
        <f t="shared" si="0"/>
        <v>16</v>
      </c>
      <c r="C24" s="10">
        <v>2</v>
      </c>
      <c r="D24" s="11" t="s">
        <v>160</v>
      </c>
      <c r="E24" s="70">
        <v>205000</v>
      </c>
      <c r="F24" s="13">
        <f t="shared" si="2"/>
        <v>410000</v>
      </c>
      <c r="H24" s="9">
        <f t="shared" si="1"/>
        <v>16</v>
      </c>
      <c r="I24" s="10">
        <v>2</v>
      </c>
      <c r="J24" s="11" t="s">
        <v>160</v>
      </c>
      <c r="K24" s="71">
        <v>250000</v>
      </c>
      <c r="L24" s="13">
        <f t="shared" si="4"/>
        <v>500000</v>
      </c>
    </row>
    <row r="25" spans="2:12" ht="20.100000000000001" customHeight="1" x14ac:dyDescent="0.25">
      <c r="B25" s="9">
        <f t="shared" si="0"/>
        <v>17</v>
      </c>
      <c r="C25" s="10">
        <v>2</v>
      </c>
      <c r="D25" s="11" t="s">
        <v>161</v>
      </c>
      <c r="E25" s="70">
        <v>90000</v>
      </c>
      <c r="F25" s="13">
        <f t="shared" si="2"/>
        <v>180000</v>
      </c>
      <c r="H25" s="9">
        <f t="shared" si="1"/>
        <v>17</v>
      </c>
      <c r="I25" s="10">
        <v>2</v>
      </c>
      <c r="J25" s="11" t="s">
        <v>161</v>
      </c>
      <c r="K25" s="71">
        <v>160000</v>
      </c>
      <c r="L25" s="13">
        <f t="shared" si="4"/>
        <v>320000</v>
      </c>
    </row>
    <row r="26" spans="2:12" ht="20.100000000000001" customHeight="1" x14ac:dyDescent="0.25">
      <c r="B26" s="9">
        <f t="shared" si="0"/>
        <v>18</v>
      </c>
      <c r="C26" s="10">
        <v>5</v>
      </c>
      <c r="D26" s="11" t="s">
        <v>162</v>
      </c>
      <c r="E26" s="70">
        <v>45000</v>
      </c>
      <c r="F26" s="13">
        <f t="shared" si="2"/>
        <v>225000</v>
      </c>
      <c r="H26" s="9">
        <f t="shared" si="1"/>
        <v>18</v>
      </c>
      <c r="I26" s="10">
        <v>5</v>
      </c>
      <c r="J26" s="11" t="s">
        <v>162</v>
      </c>
      <c r="K26" s="71">
        <v>80000</v>
      </c>
      <c r="L26" s="13">
        <f t="shared" si="4"/>
        <v>400000</v>
      </c>
    </row>
    <row r="27" spans="2:12" ht="20.100000000000001" customHeight="1" x14ac:dyDescent="0.25">
      <c r="B27" s="9">
        <f t="shared" si="0"/>
        <v>19</v>
      </c>
      <c r="C27" s="10">
        <v>5</v>
      </c>
      <c r="D27" s="11" t="s">
        <v>163</v>
      </c>
      <c r="E27" s="70">
        <v>33000</v>
      </c>
      <c r="F27" s="13">
        <f t="shared" si="2"/>
        <v>165000</v>
      </c>
      <c r="H27" s="9">
        <f t="shared" si="1"/>
        <v>19</v>
      </c>
      <c r="I27" s="10">
        <v>5</v>
      </c>
      <c r="J27" s="11" t="s">
        <v>163</v>
      </c>
      <c r="K27" s="71">
        <v>45000</v>
      </c>
      <c r="L27" s="13">
        <f t="shared" si="4"/>
        <v>225000</v>
      </c>
    </row>
    <row r="28" spans="2:12" ht="20.100000000000001" customHeight="1" x14ac:dyDescent="0.25">
      <c r="B28" s="9">
        <f t="shared" si="0"/>
        <v>20</v>
      </c>
      <c r="C28" s="10">
        <v>10</v>
      </c>
      <c r="D28" s="11" t="s">
        <v>164</v>
      </c>
      <c r="E28" s="70">
        <v>16000</v>
      </c>
      <c r="F28" s="13">
        <f t="shared" si="2"/>
        <v>160000</v>
      </c>
      <c r="H28" s="9">
        <f t="shared" si="1"/>
        <v>20</v>
      </c>
      <c r="I28" s="10">
        <v>10</v>
      </c>
      <c r="J28" s="11" t="s">
        <v>164</v>
      </c>
      <c r="K28" s="71">
        <v>35000</v>
      </c>
      <c r="L28" s="13">
        <f t="shared" si="4"/>
        <v>350000</v>
      </c>
    </row>
    <row r="29" spans="2:12" ht="20.100000000000001" customHeight="1" x14ac:dyDescent="0.25">
      <c r="B29" s="9">
        <f t="shared" si="0"/>
        <v>21</v>
      </c>
      <c r="C29" s="10">
        <v>2</v>
      </c>
      <c r="D29" s="11" t="s">
        <v>165</v>
      </c>
      <c r="E29" s="70">
        <v>32000</v>
      </c>
      <c r="F29" s="13">
        <f t="shared" si="2"/>
        <v>64000</v>
      </c>
      <c r="H29" s="9">
        <f t="shared" si="1"/>
        <v>21</v>
      </c>
      <c r="I29" s="10">
        <v>2</v>
      </c>
      <c r="J29" s="11" t="s">
        <v>165</v>
      </c>
      <c r="K29" s="71">
        <v>60000</v>
      </c>
      <c r="L29" s="13">
        <f t="shared" si="4"/>
        <v>120000</v>
      </c>
    </row>
    <row r="30" spans="2:12" ht="20.100000000000001" customHeight="1" x14ac:dyDescent="0.25">
      <c r="B30" s="9">
        <f t="shared" si="0"/>
        <v>22</v>
      </c>
      <c r="C30" s="10">
        <v>10</v>
      </c>
      <c r="D30" s="11" t="s">
        <v>166</v>
      </c>
      <c r="E30" s="70">
        <v>17000</v>
      </c>
      <c r="F30" s="13">
        <f t="shared" si="2"/>
        <v>170000</v>
      </c>
      <c r="H30" s="9">
        <f t="shared" si="1"/>
        <v>22</v>
      </c>
      <c r="I30" s="10">
        <v>10</v>
      </c>
      <c r="J30" s="11" t="s">
        <v>166</v>
      </c>
      <c r="K30" s="71">
        <v>25000</v>
      </c>
      <c r="L30" s="13">
        <f t="shared" si="4"/>
        <v>250000</v>
      </c>
    </row>
    <row r="31" spans="2:12" ht="20.100000000000001" customHeight="1" x14ac:dyDescent="0.25">
      <c r="B31" s="9">
        <f t="shared" si="0"/>
        <v>23</v>
      </c>
      <c r="C31" s="10">
        <v>5</v>
      </c>
      <c r="D31" s="11" t="s">
        <v>167</v>
      </c>
      <c r="E31" s="70">
        <v>115000</v>
      </c>
      <c r="F31" s="13">
        <f t="shared" si="2"/>
        <v>575000</v>
      </c>
      <c r="H31" s="9">
        <f t="shared" si="1"/>
        <v>23</v>
      </c>
      <c r="I31" s="10">
        <v>5</v>
      </c>
      <c r="J31" s="11" t="s">
        <v>167</v>
      </c>
      <c r="K31" s="71">
        <v>195000</v>
      </c>
      <c r="L31" s="13">
        <f t="shared" si="4"/>
        <v>975000</v>
      </c>
    </row>
    <row r="32" spans="2:12" ht="20.100000000000001" customHeight="1" x14ac:dyDescent="0.25">
      <c r="B32" s="9">
        <f t="shared" si="0"/>
        <v>24</v>
      </c>
      <c r="C32" s="10">
        <v>4</v>
      </c>
      <c r="D32" s="11" t="s">
        <v>168</v>
      </c>
      <c r="E32" s="70">
        <v>32000</v>
      </c>
      <c r="F32" s="13">
        <f t="shared" si="2"/>
        <v>128000</v>
      </c>
      <c r="H32" s="9">
        <f t="shared" si="1"/>
        <v>24</v>
      </c>
      <c r="I32" s="10">
        <v>4</v>
      </c>
      <c r="J32" s="11" t="s">
        <v>168</v>
      </c>
      <c r="K32" s="71">
        <v>45000</v>
      </c>
      <c r="L32" s="13">
        <f t="shared" si="4"/>
        <v>180000</v>
      </c>
    </row>
    <row r="33" spans="2:12" ht="20.100000000000001" customHeight="1" x14ac:dyDescent="0.25">
      <c r="B33" s="9">
        <f t="shared" si="0"/>
        <v>25</v>
      </c>
      <c r="C33" s="10">
        <v>1</v>
      </c>
      <c r="D33" s="11" t="s">
        <v>169</v>
      </c>
      <c r="E33" s="70">
        <v>75000</v>
      </c>
      <c r="F33" s="13">
        <f t="shared" si="2"/>
        <v>75000</v>
      </c>
      <c r="H33" s="9">
        <f t="shared" si="1"/>
        <v>25</v>
      </c>
      <c r="I33" s="10">
        <v>1</v>
      </c>
      <c r="J33" s="11" t="s">
        <v>169</v>
      </c>
      <c r="K33" s="71">
        <v>150000</v>
      </c>
      <c r="L33" s="13">
        <f t="shared" si="4"/>
        <v>150000</v>
      </c>
    </row>
    <row r="34" spans="2:12" ht="20.100000000000001" customHeight="1" x14ac:dyDescent="0.25">
      <c r="B34" s="9">
        <f t="shared" si="0"/>
        <v>26</v>
      </c>
      <c r="C34" s="10"/>
      <c r="D34" s="11"/>
      <c r="E34" s="12"/>
      <c r="F34" s="13">
        <f t="shared" si="2"/>
        <v>0</v>
      </c>
      <c r="H34" s="9">
        <f t="shared" si="1"/>
        <v>26</v>
      </c>
      <c r="I34" s="10"/>
      <c r="J34" s="11"/>
      <c r="K34" s="12"/>
      <c r="L34" s="13">
        <f t="shared" si="4"/>
        <v>0</v>
      </c>
    </row>
    <row r="35" spans="2:12" ht="20.100000000000001" customHeight="1" x14ac:dyDescent="0.25">
      <c r="B35" s="9">
        <f t="shared" si="0"/>
        <v>27</v>
      </c>
      <c r="C35" s="10"/>
      <c r="D35" s="11"/>
      <c r="E35" s="12"/>
      <c r="F35" s="13">
        <f t="shared" si="2"/>
        <v>0</v>
      </c>
      <c r="H35" s="9">
        <f t="shared" si="1"/>
        <v>27</v>
      </c>
      <c r="I35" s="10"/>
      <c r="J35" s="11"/>
      <c r="K35" s="12"/>
      <c r="L35" s="13">
        <f t="shared" si="4"/>
        <v>0</v>
      </c>
    </row>
    <row r="36" spans="2:12" ht="20.100000000000001" customHeight="1" x14ac:dyDescent="0.25">
      <c r="B36" s="9">
        <f t="shared" si="0"/>
        <v>28</v>
      </c>
      <c r="C36" s="10"/>
      <c r="D36" s="11"/>
      <c r="E36" s="12"/>
      <c r="F36" s="13">
        <f t="shared" si="2"/>
        <v>0</v>
      </c>
      <c r="H36" s="9">
        <f t="shared" si="1"/>
        <v>28</v>
      </c>
      <c r="I36" s="10"/>
      <c r="J36" s="11"/>
      <c r="K36" s="12"/>
      <c r="L36" s="13">
        <f t="shared" si="4"/>
        <v>0</v>
      </c>
    </row>
    <row r="37" spans="2:12" ht="20.100000000000001" customHeight="1" x14ac:dyDescent="0.25">
      <c r="B37" s="9">
        <f t="shared" si="0"/>
        <v>29</v>
      </c>
      <c r="C37" s="10"/>
      <c r="D37" s="11"/>
      <c r="E37" s="12"/>
      <c r="F37" s="13">
        <f t="shared" si="2"/>
        <v>0</v>
      </c>
      <c r="H37" s="9">
        <f t="shared" si="1"/>
        <v>29</v>
      </c>
      <c r="I37" s="10"/>
      <c r="J37" s="11"/>
      <c r="K37" s="12"/>
      <c r="L37" s="13">
        <f t="shared" si="4"/>
        <v>0</v>
      </c>
    </row>
    <row r="38" spans="2:12" ht="20.100000000000001" customHeight="1" x14ac:dyDescent="0.25">
      <c r="B38" s="9">
        <f t="shared" si="0"/>
        <v>30</v>
      </c>
      <c r="C38" s="10"/>
      <c r="D38" s="11"/>
      <c r="E38" s="12"/>
      <c r="F38" s="13">
        <f t="shared" si="2"/>
        <v>0</v>
      </c>
      <c r="H38" s="9">
        <f t="shared" si="1"/>
        <v>30</v>
      </c>
      <c r="I38" s="10"/>
      <c r="J38" s="11"/>
      <c r="K38" s="12"/>
      <c r="L38" s="13">
        <f t="shared" si="4"/>
        <v>0</v>
      </c>
    </row>
    <row r="39" spans="2:12" ht="20.100000000000001" customHeight="1" x14ac:dyDescent="0.25">
      <c r="B39" s="9">
        <f t="shared" si="0"/>
        <v>31</v>
      </c>
      <c r="C39" s="10"/>
      <c r="D39" s="11"/>
      <c r="E39" s="12"/>
      <c r="F39" s="13">
        <f t="shared" si="2"/>
        <v>0</v>
      </c>
      <c r="H39" s="9">
        <f t="shared" si="1"/>
        <v>31</v>
      </c>
      <c r="I39" s="10"/>
      <c r="J39" s="11"/>
      <c r="K39" s="12"/>
      <c r="L39" s="13">
        <f t="shared" si="4"/>
        <v>0</v>
      </c>
    </row>
    <row r="40" spans="2:12" ht="20.100000000000001" customHeight="1" x14ac:dyDescent="0.25">
      <c r="B40" s="9">
        <f t="shared" si="0"/>
        <v>32</v>
      </c>
      <c r="C40" s="19"/>
      <c r="D40" s="20"/>
      <c r="E40" s="21"/>
      <c r="F40" s="22">
        <f>E40*C40</f>
        <v>0</v>
      </c>
      <c r="H40" s="9">
        <f t="shared" si="1"/>
        <v>32</v>
      </c>
      <c r="I40" s="19"/>
      <c r="J40" s="20"/>
      <c r="K40" s="21"/>
      <c r="L40" s="22">
        <f>K40*I40</f>
        <v>0</v>
      </c>
    </row>
    <row r="41" spans="2:12" ht="30" customHeight="1" x14ac:dyDescent="0.3">
      <c r="B41" s="47" t="s">
        <v>51</v>
      </c>
      <c r="C41" s="48"/>
      <c r="D41" s="49"/>
      <c r="E41" s="23"/>
      <c r="F41" s="24">
        <f>SUM(F9:F40)</f>
        <v>5372000</v>
      </c>
      <c r="H41" s="47" t="s">
        <v>51</v>
      </c>
      <c r="I41" s="48"/>
      <c r="J41" s="49"/>
      <c r="K41" s="23"/>
      <c r="L41" s="24">
        <f>SUM(L9:L40)</f>
        <v>9115000</v>
      </c>
    </row>
    <row r="42" spans="2:12" x14ac:dyDescent="0.25">
      <c r="H42" s="1"/>
    </row>
  </sheetData>
  <mergeCells count="18">
    <mergeCell ref="B41:D41"/>
    <mergeCell ref="H41:J41"/>
    <mergeCell ref="B4:F4"/>
    <mergeCell ref="H4:L4"/>
    <mergeCell ref="B6:B7"/>
    <mergeCell ref="C6:C7"/>
    <mergeCell ref="D6:D7"/>
    <mergeCell ref="F6:F7"/>
    <mergeCell ref="H6:H7"/>
    <mergeCell ref="I6:I7"/>
    <mergeCell ref="J6:J7"/>
    <mergeCell ref="L6:L7"/>
    <mergeCell ref="B1:F1"/>
    <mergeCell ref="H1:L1"/>
    <mergeCell ref="B2:F2"/>
    <mergeCell ref="H2:L2"/>
    <mergeCell ref="B3:F3"/>
    <mergeCell ref="H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sparepart GM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Komputer</dc:creator>
  <cp:lastModifiedBy>Micro Komputer</cp:lastModifiedBy>
  <dcterms:created xsi:type="dcterms:W3CDTF">2026-06-11T09:39:01Z</dcterms:created>
  <dcterms:modified xsi:type="dcterms:W3CDTF">2026-06-30T09:15:35Z</dcterms:modified>
</cp:coreProperties>
</file>